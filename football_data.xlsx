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i\anaconda_projects\"/>
    </mc:Choice>
  </mc:AlternateContent>
  <xr:revisionPtr revIDLastSave="0" documentId="8_{D54C5CDC-8B7F-4A37-8CA3-6558D68AA0FD}" xr6:coauthVersionLast="47" xr6:coauthVersionMax="47" xr10:uidLastSave="{00000000-0000-0000-0000-000000000000}"/>
  <bookViews>
    <workbookView xWindow="-120" yWindow="-120" windowWidth="29040" windowHeight="15720" xr2:uid="{47A2FEF1-4982-472D-BF3D-85B96231E506}"/>
  </bookViews>
  <sheets>
    <sheet name="footbal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F22" i="1"/>
  <c r="F23" i="1"/>
  <c r="D5" i="1"/>
  <c r="C5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E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  <c r="C3" i="1"/>
  <c r="D3" i="1"/>
  <c r="C4" i="1"/>
  <c r="D4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D2" i="1"/>
</calcChain>
</file>

<file path=xl/sharedStrings.xml><?xml version="1.0" encoding="utf-8"?>
<sst xmlns="http://schemas.openxmlformats.org/spreadsheetml/2006/main" count="206" uniqueCount="115">
  <si>
    <t>League</t>
  </si>
  <si>
    <t>Team</t>
  </si>
  <si>
    <t>Home_xG</t>
  </si>
  <si>
    <t>Home_xGA</t>
  </si>
  <si>
    <t>Away_xG</t>
  </si>
  <si>
    <t>Away_xGA</t>
  </si>
  <si>
    <t>Season_Goals</t>
  </si>
  <si>
    <t>Season_xG</t>
  </si>
  <si>
    <t>home matches</t>
  </si>
  <si>
    <t>away matches</t>
  </si>
  <si>
    <t>home xg</t>
  </si>
  <si>
    <t>home xga</t>
  </si>
  <si>
    <t>away xg</t>
  </si>
  <si>
    <t>away xga</t>
  </si>
  <si>
    <t>La Liga</t>
  </si>
  <si>
    <t>Alaves</t>
  </si>
  <si>
    <t>Athletic Bilbao</t>
  </si>
  <si>
    <t>Atletico Madrid</t>
  </si>
  <si>
    <t>Barcelona</t>
  </si>
  <si>
    <t>Celta</t>
  </si>
  <si>
    <t>Elche</t>
  </si>
  <si>
    <t>Espanyol</t>
  </si>
  <si>
    <t>Getafe</t>
  </si>
  <si>
    <t>Girona</t>
  </si>
  <si>
    <t>Levante</t>
  </si>
  <si>
    <t>Mallorca</t>
  </si>
  <si>
    <t>Osasuna</t>
  </si>
  <si>
    <t>Rayo Vallecano</t>
  </si>
  <si>
    <t>Real Betis</t>
  </si>
  <si>
    <t>Real Madrid</t>
  </si>
  <si>
    <t>Real Oviedo</t>
  </si>
  <si>
    <t>Real Sociedad</t>
  </si>
  <si>
    <t>Sevilla</t>
  </si>
  <si>
    <t>Valencia</t>
  </si>
  <si>
    <t>Villarreal</t>
  </si>
  <si>
    <t>EPL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</si>
  <si>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</si>
  <si>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</si>
  <si>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</si>
  <si>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</si>
  <si>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</si>
  <si>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</si>
  <si>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</si>
  <si>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</si>
  <si>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</si>
  <si>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</si>
  <si>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</t>
  </si>
  <si>
    <t>Liverpool</t>
  </si>
  <si>
    <t>Man City</t>
  </si>
  <si>
    <t>Man United</t>
  </si>
  <si>
    <t>Newcastle</t>
  </si>
  <si>
    <t>Nottingham</t>
  </si>
  <si>
    <t>Sunderland</t>
  </si>
  <si>
    <t>Tottenham</t>
  </si>
  <si>
    <t>West Ham</t>
  </si>
  <si>
    <t>Wolves</t>
  </si>
  <si>
    <t>Serie A</t>
  </si>
  <si>
    <t>AC Milan</t>
  </si>
  <si>
    <t>Atalanta</t>
  </si>
  <si>
    <t>Bologna</t>
  </si>
  <si>
    <t>Cagliari</t>
  </si>
  <si>
    <t>Como</t>
  </si>
  <si>
    <t>Cremonese</t>
  </si>
  <si>
    <t>Fiorentina</t>
  </si>
  <si>
    <t>Genoa</t>
  </si>
  <si>
    <t>Inter</t>
  </si>
  <si>
    <t>Juventus</t>
  </si>
  <si>
    <t>Lazio</t>
  </si>
  <si>
    <t>Lecce</t>
  </si>
  <si>
    <t>Napoli</t>
  </si>
  <si>
    <t>Parma</t>
  </si>
  <si>
    <t>Pisa</t>
  </si>
  <si>
    <t>Roma</t>
  </si>
  <si>
    <t>Sassuolo</t>
  </si>
  <si>
    <t>Torino</t>
  </si>
  <si>
    <t>Udinese</t>
  </si>
  <si>
    <t>Verona</t>
  </si>
  <si>
    <t>Bundesliga</t>
  </si>
  <si>
    <t>Augsburg</t>
  </si>
  <si>
    <t>Bayer Leverkusen</t>
  </si>
  <si>
    <t>Bayern Munich</t>
  </si>
  <si>
    <t>Dortmund</t>
  </si>
  <si>
    <t>Gladbach</t>
  </si>
  <si>
    <t>Frankfurt</t>
  </si>
  <si>
    <t>Koln</t>
  </si>
  <si>
    <t>Heidenheim</t>
  </si>
  <si>
    <t>Freiburg</t>
  </si>
  <si>
    <t>Hamburger</t>
  </si>
  <si>
    <t>Hoffenheim</t>
  </si>
  <si>
    <t>Mainz</t>
  </si>
  <si>
    <t>Leipzig</t>
  </si>
  <si>
    <t>St. Pauli</t>
  </si>
  <si>
    <t>Union Berlin</t>
  </si>
  <si>
    <t>Stuttgart</t>
  </si>
  <si>
    <t>Werder Bremen</t>
  </si>
  <si>
    <t>Wolfsburg</t>
  </si>
  <si>
    <t>Ligue 1</t>
  </si>
  <si>
    <t>Angers</t>
  </si>
  <si>
    <t>Auxerre</t>
  </si>
  <si>
    <t>Brest</t>
  </si>
  <si>
    <t>Le Havre</t>
  </si>
  <si>
    <t>Lens</t>
  </si>
  <si>
    <t>Lille</t>
  </si>
  <si>
    <t>Lorient</t>
  </si>
  <si>
    <t>Lyon</t>
  </si>
  <si>
    <t>Marseille</t>
  </si>
  <si>
    <t>Metz</t>
  </si>
  <si>
    <t>Monaco</t>
  </si>
  <si>
    <t>Nantes</t>
  </si>
  <si>
    <t>Nice</t>
  </si>
  <si>
    <t>Paris</t>
  </si>
  <si>
    <t>PSG</t>
  </si>
  <si>
    <t>Rennes</t>
  </si>
  <si>
    <t>Strasbourg</t>
  </si>
  <si>
    <t>Toulouse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</si>
</sst>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6">
    <xf numFmtId="0" fontId="0" fillId="0" borderId="0" xfId="0"/>
    <xf numFmtId="0" fontId="19" fillId="33" borderId="19" xfId="0" applyFont="1" applyFill="1" applyBorder="1"/>
    <xf numFmtId="0" fontId="19" fillId="33" borderId="20" xfId="0" applyFont="1" applyFill="1" applyBorder="1"/>
    <xf numFmtId="0" fontId="19" fillId="33" borderId="21" xfId="0" applyFont="1" applyFill="1" applyBorder="1"/>
    <xf numFmtId="0" fontId="20" fillId="34" borderId="10" xfId="0" applyFont="1" applyFill="1" applyBorder="1"/>
    <xf numFmtId="0" fontId="21" fillId="0" borderId="11" xfId="0" applyFont="1" applyBorder="1"/>
    <xf numFmtId="2" fontId="21" fillId="0" borderId="11" xfId="0" applyNumberFormat="1" applyFont="1" applyBorder="1"/>
    <xf numFmtId="0" fontId="20" fillId="34" borderId="13" xfId="0" applyFont="1" applyFill="1" applyBorder="1"/>
    <xf numFmtId="0" fontId="21" fillId="0" borderId="14" xfId="0" applyFont="1" applyBorder="1"/>
    <xf numFmtId="2" fontId="21" fillId="0" borderId="14" xfId="0" applyNumberFormat="1" applyFont="1" applyBorder="1"/>
    <xf numFmtId="0" fontId="20" fillId="34" borderId="16" xfId="0" applyFont="1" applyFill="1" applyBorder="1"/>
    <xf numFmtId="0" fontId="21" fillId="0" borderId="17" xfId="0" applyFont="1" applyBorder="1"/>
    <xf numFmtId="2" fontId="21" fillId="0" borderId="17" xfId="0" applyNumberFormat="1" applyFont="1" applyBorder="1"/>
    <xf numFmtId="0" fontId="20" fillId="35" borderId="10" xfId="0" applyFont="1" applyFill="1" applyBorder="1"/>
    <xf numFmtId="0" fontId="20" fillId="35" borderId="13" xfId="0" applyFont="1" applyFill="1" applyBorder="1"/>
    <xf numFmtId="0" fontId="20" fillId="35" borderId="16" xfId="0" applyFont="1" applyFill="1" applyBorder="1"/>
    <xf numFmtId="0" fontId="21" fillId="36" borderId="10" xfId="0" applyFont="1" applyFill="1" applyBorder="1"/>
    <xf numFmtId="0" fontId="21" fillId="0" borderId="12" xfId="0" applyFont="1" applyBorder="1"/>
    <xf numFmtId="0" fontId="21" fillId="36" borderId="13" xfId="0" applyFont="1" applyFill="1" applyBorder="1"/>
    <xf numFmtId="0" fontId="21" fillId="0" borderId="15" xfId="0" applyFont="1" applyBorder="1"/>
    <xf numFmtId="0" fontId="21" fillId="36" borderId="16" xfId="0" applyFont="1" applyFill="1" applyBorder="1"/>
    <xf numFmtId="0" fontId="21" fillId="0" borderId="18" xfId="0" applyFont="1" applyBorder="1"/>
    <xf numFmtId="0" fontId="21" fillId="37" borderId="10" xfId="0" applyFont="1" applyFill="1" applyBorder="1"/>
    <xf numFmtId="0" fontId="21" fillId="37" borderId="13" xfId="0" applyFont="1" applyFill="1" applyBorder="1"/>
    <xf numFmtId="0" fontId="21" fillId="37" borderId="16" xfId="0" applyFont="1" applyFill="1" applyBorder="1"/>
    <xf numFmtId="0" fontId="21" fillId="0" borderId="10" xfId="0" applyFont="1" applyBorder="1"/>
    <xf numFmtId="0" fontId="21" fillId="0" borderId="13" xfId="0" applyFont="1" applyBorder="1"/>
    <xf numFmtId="0" fontId="21" fillId="0" borderId="16" xfId="0" applyFont="1" applyBorder="1"/>
    <xf numFmtId="0" fontId="18" fillId="0" borderId="0" xfId="42"/>
    <xf numFmtId="0" fontId="18" fillId="0" borderId="25" xfId="42" applyBorder="1"/>
    <xf numFmtId="0" fontId="18" fillId="0" borderId="26" xfId="42" applyBorder="1"/>
    <xf numFmtId="0" fontId="18" fillId="0" borderId="22" xfId="42" applyBorder="1"/>
    <xf numFmtId="0" fontId="18" fillId="0" borderId="23" xfId="42" applyBorder="1"/>
    <xf numFmtId="0" fontId="18" fillId="0" borderId="24" xfId="42" applyBorder="1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EBF61C9-285E-44BB-8907-927D8D5534E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CCBD-B9D2-4950-8284-74A65C91503F}">
  <dimension ref="A1:O97"/>
  <sheetViews>
    <sheetView tabSelected="1" topLeftCell="A55" workbookViewId="0">
      <selection activeCell="R67" sqref="R67"/>
    </sheetView>
  </sheetViews>
  <sheetFormatPr defaultRowHeight="15" x14ac:dyDescent="0.25"/>
  <cols>
    <col min="2" max="2" width="18" bestFit="1" customWidth="1"/>
    <col min="3" max="3" width="10.85546875" bestFit="1" customWidth="1"/>
    <col min="4" max="4" width="12.140625" bestFit="1" customWidth="1"/>
    <col min="5" max="5" width="10" bestFit="1" customWidth="1"/>
    <col min="6" max="6" width="11.28515625" bestFit="1" customWidth="1"/>
    <col min="7" max="7" width="15.7109375" bestFit="1" customWidth="1"/>
    <col min="8" max="8" width="12.57031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t="15.75" x14ac:dyDescent="0.25">
      <c r="A2" s="4" t="s">
        <v>14</v>
      </c>
      <c r="B2" s="5" t="s">
        <v>15</v>
      </c>
      <c r="C2" s="6">
        <f>L2/J2</f>
        <v>1.6515384615384614</v>
      </c>
      <c r="D2" s="6">
        <f>M2/J2</f>
        <v>1.3692307692307693</v>
      </c>
      <c r="E2" s="6">
        <f>N2/K2</f>
        <v>1.2007692307692308</v>
      </c>
      <c r="F2" s="6">
        <f>O2/K2</f>
        <v>1.5253846153846153</v>
      </c>
      <c r="G2" s="35">
        <v>23</v>
      </c>
      <c r="H2" s="34">
        <v>37.08</v>
      </c>
      <c r="J2" s="36">
        <v>13</v>
      </c>
      <c r="K2" s="38">
        <v>13</v>
      </c>
      <c r="L2" s="37">
        <v>21.47</v>
      </c>
      <c r="M2" s="37">
        <v>17.8</v>
      </c>
      <c r="N2" s="39">
        <v>15.61</v>
      </c>
      <c r="O2" s="39">
        <v>19.829999999999998</v>
      </c>
    </row>
    <row r="3" spans="1:15" ht="15.75" x14ac:dyDescent="0.25">
      <c r="A3" s="7" t="s">
        <v>14</v>
      </c>
      <c r="B3" s="8" t="s">
        <v>16</v>
      </c>
      <c r="C3" s="9">
        <f t="shared" ref="C3:C66" si="0">L3/J3</f>
        <v>1.76</v>
      </c>
      <c r="D3" s="9">
        <f t="shared" ref="D3:D66" si="1">M3/J3</f>
        <v>0.82923076923076922</v>
      </c>
      <c r="E3" s="9">
        <f t="shared" ref="E3:E66" si="2">N3/K3</f>
        <v>1.4183333333333332</v>
      </c>
      <c r="F3" s="9">
        <f t="shared" ref="F3:F66" si="3">O3/K3</f>
        <v>1.5858333333333334</v>
      </c>
      <c r="G3" s="35">
        <v>29</v>
      </c>
      <c r="H3" s="34">
        <v>39.9</v>
      </c>
      <c r="J3" s="36">
        <v>13</v>
      </c>
      <c r="K3" s="38">
        <v>12</v>
      </c>
      <c r="L3" s="37">
        <v>22.88</v>
      </c>
      <c r="M3" s="37">
        <v>10.78</v>
      </c>
      <c r="N3" s="39">
        <v>17.02</v>
      </c>
      <c r="O3" s="39">
        <v>19.03</v>
      </c>
    </row>
    <row r="4" spans="1:15" ht="15.75" x14ac:dyDescent="0.25">
      <c r="A4" s="7" t="s">
        <v>14</v>
      </c>
      <c r="B4" s="8" t="s">
        <v>17</v>
      </c>
      <c r="C4" s="9">
        <f t="shared" si="0"/>
        <v>2.3684615384615384</v>
      </c>
      <c r="D4" s="9">
        <f t="shared" si="1"/>
        <v>0.91692307692307695</v>
      </c>
      <c r="E4" s="9">
        <f t="shared" si="2"/>
        <v>1.1274999999999999</v>
      </c>
      <c r="F4" s="9">
        <f t="shared" si="3"/>
        <v>1.4683333333333335</v>
      </c>
      <c r="G4" s="35">
        <v>42</v>
      </c>
      <c r="H4" s="34">
        <v>44.32</v>
      </c>
      <c r="J4" s="36">
        <v>13</v>
      </c>
      <c r="K4" s="38">
        <v>12</v>
      </c>
      <c r="L4" s="37">
        <v>30.79</v>
      </c>
      <c r="M4" s="37">
        <v>11.92</v>
      </c>
      <c r="N4" s="39">
        <v>13.53</v>
      </c>
      <c r="O4" s="39">
        <v>17.62</v>
      </c>
    </row>
    <row r="5" spans="1:15" ht="15.75" x14ac:dyDescent="0.25">
      <c r="A5" s="7" t="s">
        <v>14</v>
      </c>
      <c r="B5" s="8" t="s">
        <v>18</v>
      </c>
      <c r="C5" s="9">
        <f>L5/J5</f>
        <v>2.8691666666666666</v>
      </c>
      <c r="D5" s="9">
        <f>M5/J5</f>
        <v>0.86333333333333329</v>
      </c>
      <c r="E5" s="9">
        <f t="shared" si="2"/>
        <v>3.016923076923077</v>
      </c>
      <c r="F5" s="9">
        <f t="shared" si="3"/>
        <v>1.9500000000000002</v>
      </c>
      <c r="G5" s="35">
        <v>67</v>
      </c>
      <c r="H5" s="34">
        <v>73.650000000000006</v>
      </c>
      <c r="J5" s="36">
        <v>12</v>
      </c>
      <c r="K5" s="38">
        <v>13</v>
      </c>
      <c r="L5" s="37">
        <v>34.43</v>
      </c>
      <c r="M5" s="37">
        <v>10.36</v>
      </c>
      <c r="N5" s="39">
        <v>39.22</v>
      </c>
      <c r="O5" s="39">
        <v>25.35</v>
      </c>
    </row>
    <row r="6" spans="1:15" ht="15.75" x14ac:dyDescent="0.25">
      <c r="A6" s="7" t="s">
        <v>14</v>
      </c>
      <c r="B6" s="8" t="s">
        <v>19</v>
      </c>
      <c r="C6" s="9">
        <f t="shared" si="0"/>
        <v>1.5307692307692307</v>
      </c>
      <c r="D6" s="9">
        <f t="shared" si="1"/>
        <v>1.3284615384615384</v>
      </c>
      <c r="E6" s="9">
        <f t="shared" si="2"/>
        <v>1.4000000000000001</v>
      </c>
      <c r="F6" s="9">
        <f t="shared" si="3"/>
        <v>1.4075</v>
      </c>
      <c r="G6" s="35">
        <v>34</v>
      </c>
      <c r="H6" s="34">
        <v>36.700000000000003</v>
      </c>
      <c r="J6" s="36">
        <v>13</v>
      </c>
      <c r="K6" s="38">
        <v>12</v>
      </c>
      <c r="L6" s="37">
        <v>19.899999999999999</v>
      </c>
      <c r="M6" s="37">
        <v>17.27</v>
      </c>
      <c r="N6" s="39">
        <v>16.8</v>
      </c>
      <c r="O6" s="39">
        <v>16.89</v>
      </c>
    </row>
    <row r="7" spans="1:15" ht="15.75" x14ac:dyDescent="0.25">
      <c r="A7" s="7" t="s">
        <v>14</v>
      </c>
      <c r="B7" s="8" t="s">
        <v>20</v>
      </c>
      <c r="C7" s="9">
        <f t="shared" si="0"/>
        <v>1.7461538461538462</v>
      </c>
      <c r="D7" s="9">
        <f t="shared" si="1"/>
        <v>1.9284615384615384</v>
      </c>
      <c r="E7" s="9">
        <f t="shared" si="2"/>
        <v>0.66500000000000004</v>
      </c>
      <c r="F7" s="9">
        <f t="shared" si="3"/>
        <v>2.0775000000000001</v>
      </c>
      <c r="G7" s="35">
        <v>32</v>
      </c>
      <c r="H7" s="34">
        <v>30.68</v>
      </c>
      <c r="J7" s="36">
        <v>13</v>
      </c>
      <c r="K7" s="38">
        <v>12</v>
      </c>
      <c r="L7" s="37">
        <v>22.7</v>
      </c>
      <c r="M7" s="37">
        <v>25.07</v>
      </c>
      <c r="N7" s="39">
        <v>7.98</v>
      </c>
      <c r="O7" s="39">
        <v>24.93</v>
      </c>
    </row>
    <row r="8" spans="1:15" ht="15.75" x14ac:dyDescent="0.25">
      <c r="A8" s="7" t="s">
        <v>14</v>
      </c>
      <c r="B8" s="8" t="s">
        <v>21</v>
      </c>
      <c r="C8" s="9">
        <f t="shared" si="0"/>
        <v>1.6300000000000001</v>
      </c>
      <c r="D8" s="9">
        <f t="shared" si="1"/>
        <v>1.5946153846153845</v>
      </c>
      <c r="E8" s="9">
        <f t="shared" si="2"/>
        <v>1.3908333333333334</v>
      </c>
      <c r="F8" s="9">
        <f t="shared" si="3"/>
        <v>1.6166666666666665</v>
      </c>
      <c r="G8" s="35">
        <v>31</v>
      </c>
      <c r="H8" s="34">
        <v>37.89</v>
      </c>
      <c r="J8" s="36">
        <v>13</v>
      </c>
      <c r="K8" s="38">
        <v>12</v>
      </c>
      <c r="L8" s="37">
        <v>21.19</v>
      </c>
      <c r="M8" s="37">
        <v>20.73</v>
      </c>
      <c r="N8" s="39">
        <v>16.690000000000001</v>
      </c>
      <c r="O8" s="39">
        <v>19.399999999999999</v>
      </c>
    </row>
    <row r="9" spans="1:15" ht="15.75" x14ac:dyDescent="0.25">
      <c r="A9" s="7" t="s">
        <v>14</v>
      </c>
      <c r="B9" s="8" t="s">
        <v>22</v>
      </c>
      <c r="C9" s="9">
        <f t="shared" si="0"/>
        <v>0.74692307692307702</v>
      </c>
      <c r="D9" s="9">
        <f t="shared" si="1"/>
        <v>0.98</v>
      </c>
      <c r="E9" s="9">
        <f t="shared" si="2"/>
        <v>0.9408333333333333</v>
      </c>
      <c r="F9" s="9">
        <f t="shared" si="3"/>
        <v>1.4508333333333334</v>
      </c>
      <c r="G9" s="35">
        <v>20</v>
      </c>
      <c r="H9" s="34">
        <v>21</v>
      </c>
      <c r="J9" s="36">
        <v>13</v>
      </c>
      <c r="K9" s="38">
        <v>12</v>
      </c>
      <c r="L9" s="37">
        <v>9.7100000000000009</v>
      </c>
      <c r="M9" s="37">
        <v>12.74</v>
      </c>
      <c r="N9" s="39">
        <v>11.29</v>
      </c>
      <c r="O9" s="39">
        <v>17.41</v>
      </c>
    </row>
    <row r="10" spans="1:15" ht="15.75" x14ac:dyDescent="0.25">
      <c r="A10" s="7" t="s">
        <v>14</v>
      </c>
      <c r="B10" s="8" t="s">
        <v>23</v>
      </c>
      <c r="C10" s="9">
        <f t="shared" si="0"/>
        <v>1.3358333333333334</v>
      </c>
      <c r="D10" s="9">
        <f t="shared" si="1"/>
        <v>2.1074999999999999</v>
      </c>
      <c r="E10" s="9">
        <f t="shared" si="2"/>
        <v>1.360769230769231</v>
      </c>
      <c r="F10" s="9">
        <f t="shared" si="3"/>
        <v>1.6876923076923078</v>
      </c>
      <c r="G10" s="35">
        <v>26</v>
      </c>
      <c r="H10" s="34">
        <v>33.72</v>
      </c>
      <c r="J10" s="36">
        <v>12</v>
      </c>
      <c r="K10" s="38">
        <v>13</v>
      </c>
      <c r="L10" s="37">
        <v>16.03</v>
      </c>
      <c r="M10" s="37">
        <v>25.29</v>
      </c>
      <c r="N10" s="39">
        <v>17.690000000000001</v>
      </c>
      <c r="O10" s="39">
        <v>21.94</v>
      </c>
    </row>
    <row r="11" spans="1:15" ht="15.75" x14ac:dyDescent="0.25">
      <c r="A11" s="7" t="s">
        <v>14</v>
      </c>
      <c r="B11" s="8" t="s">
        <v>24</v>
      </c>
      <c r="C11" s="9">
        <f t="shared" si="0"/>
        <v>1.5276923076923077</v>
      </c>
      <c r="D11" s="9">
        <f t="shared" si="1"/>
        <v>1.9161538461538461</v>
      </c>
      <c r="E11" s="9">
        <f t="shared" si="2"/>
        <v>1.3569230769230769</v>
      </c>
      <c r="F11" s="9">
        <f t="shared" si="3"/>
        <v>1.9261538461538461</v>
      </c>
      <c r="G11" s="35">
        <v>28</v>
      </c>
      <c r="H11" s="34">
        <v>37.49</v>
      </c>
      <c r="J11" s="36">
        <v>13</v>
      </c>
      <c r="K11" s="38">
        <v>13</v>
      </c>
      <c r="L11" s="37">
        <v>19.86</v>
      </c>
      <c r="M11" s="37">
        <v>24.91</v>
      </c>
      <c r="N11" s="39">
        <v>17.64</v>
      </c>
      <c r="O11" s="39">
        <v>25.04</v>
      </c>
    </row>
    <row r="12" spans="1:15" ht="15.75" x14ac:dyDescent="0.25">
      <c r="A12" s="7" t="s">
        <v>14</v>
      </c>
      <c r="B12" s="8" t="s">
        <v>25</v>
      </c>
      <c r="C12" s="9">
        <f t="shared" si="0"/>
        <v>1.5</v>
      </c>
      <c r="D12" s="9">
        <f t="shared" si="1"/>
        <v>1.4124999999999999</v>
      </c>
      <c r="E12" s="9">
        <f t="shared" si="2"/>
        <v>0.83076923076923082</v>
      </c>
      <c r="F12" s="9">
        <f t="shared" si="3"/>
        <v>2.1884615384615382</v>
      </c>
      <c r="G12" s="35">
        <v>29</v>
      </c>
      <c r="H12" s="34">
        <v>28.8</v>
      </c>
      <c r="J12" s="36">
        <v>12</v>
      </c>
      <c r="K12" s="38">
        <v>13</v>
      </c>
      <c r="L12" s="37">
        <v>18</v>
      </c>
      <c r="M12" s="37">
        <v>16.95</v>
      </c>
      <c r="N12" s="39">
        <v>10.8</v>
      </c>
      <c r="O12" s="39">
        <v>28.45</v>
      </c>
    </row>
    <row r="13" spans="1:15" ht="15.75" x14ac:dyDescent="0.25">
      <c r="A13" s="7" t="s">
        <v>14</v>
      </c>
      <c r="B13" s="8" t="s">
        <v>26</v>
      </c>
      <c r="C13" s="9">
        <f t="shared" si="0"/>
        <v>1.6083333333333334</v>
      </c>
      <c r="D13" s="9">
        <f t="shared" si="1"/>
        <v>1.1583333333333334</v>
      </c>
      <c r="E13" s="9">
        <f t="shared" si="2"/>
        <v>0.95692307692307688</v>
      </c>
      <c r="F13" s="9">
        <f t="shared" si="3"/>
        <v>1.6161538461538463</v>
      </c>
      <c r="G13" s="35">
        <v>30</v>
      </c>
      <c r="H13" s="34">
        <v>31.75</v>
      </c>
      <c r="J13" s="36">
        <v>12</v>
      </c>
      <c r="K13" s="38">
        <v>13</v>
      </c>
      <c r="L13" s="37">
        <v>19.3</v>
      </c>
      <c r="M13" s="37">
        <v>13.9</v>
      </c>
      <c r="N13" s="39">
        <v>12.44</v>
      </c>
      <c r="O13" s="39">
        <v>21.01</v>
      </c>
    </row>
    <row r="14" spans="1:15" ht="15.75" x14ac:dyDescent="0.25">
      <c r="A14" s="7" t="s">
        <v>14</v>
      </c>
      <c r="B14" s="8" t="s">
        <v>27</v>
      </c>
      <c r="C14" s="9">
        <f t="shared" si="0"/>
        <v>1.6990909090909092</v>
      </c>
      <c r="D14" s="9">
        <f t="shared" si="1"/>
        <v>1.0909090909090908</v>
      </c>
      <c r="E14" s="9">
        <f t="shared" si="2"/>
        <v>1.2846153846153845</v>
      </c>
      <c r="F14" s="9">
        <f t="shared" si="3"/>
        <v>1.9500000000000002</v>
      </c>
      <c r="G14" s="35">
        <v>22</v>
      </c>
      <c r="H14" s="34">
        <v>35.380000000000003</v>
      </c>
      <c r="J14" s="36">
        <v>11</v>
      </c>
      <c r="K14" s="38">
        <v>13</v>
      </c>
      <c r="L14" s="37">
        <v>18.690000000000001</v>
      </c>
      <c r="M14" s="37">
        <v>12</v>
      </c>
      <c r="N14" s="39">
        <v>16.7</v>
      </c>
      <c r="O14" s="39">
        <v>25.35</v>
      </c>
    </row>
    <row r="15" spans="1:15" ht="15.75" x14ac:dyDescent="0.25">
      <c r="A15" s="7" t="s">
        <v>14</v>
      </c>
      <c r="B15" s="8" t="s">
        <v>28</v>
      </c>
      <c r="C15" s="9">
        <f t="shared" si="0"/>
        <v>2.0150000000000001</v>
      </c>
      <c r="D15" s="9">
        <f t="shared" si="1"/>
        <v>1.3141666666666667</v>
      </c>
      <c r="E15" s="9">
        <f t="shared" si="2"/>
        <v>1.4423076923076923</v>
      </c>
      <c r="F15" s="9">
        <f t="shared" si="3"/>
        <v>1.3753846153846152</v>
      </c>
      <c r="G15" s="35">
        <v>40</v>
      </c>
      <c r="H15" s="34">
        <v>42.93</v>
      </c>
      <c r="J15" s="36">
        <v>12</v>
      </c>
      <c r="K15" s="38">
        <v>13</v>
      </c>
      <c r="L15" s="37">
        <v>24.18</v>
      </c>
      <c r="M15" s="37">
        <v>15.77</v>
      </c>
      <c r="N15" s="39">
        <v>18.75</v>
      </c>
      <c r="O15" s="39">
        <v>17.88</v>
      </c>
    </row>
    <row r="16" spans="1:15" ht="15.75" x14ac:dyDescent="0.25">
      <c r="A16" s="7" t="s">
        <v>14</v>
      </c>
      <c r="B16" s="8" t="s">
        <v>29</v>
      </c>
      <c r="C16" s="9">
        <f t="shared" si="0"/>
        <v>2.7749999999999999</v>
      </c>
      <c r="D16" s="9">
        <f t="shared" si="1"/>
        <v>0.97583333333333344</v>
      </c>
      <c r="E16" s="9">
        <f t="shared" si="2"/>
        <v>2.1153846153846154</v>
      </c>
      <c r="F16" s="9">
        <f t="shared" si="3"/>
        <v>1.4484615384615382</v>
      </c>
      <c r="G16" s="35">
        <v>54</v>
      </c>
      <c r="H16" s="34">
        <v>60.81</v>
      </c>
      <c r="J16" s="36">
        <v>12</v>
      </c>
      <c r="K16" s="38">
        <v>13</v>
      </c>
      <c r="L16" s="37">
        <v>33.299999999999997</v>
      </c>
      <c r="M16" s="37">
        <v>11.71</v>
      </c>
      <c r="N16" s="39">
        <v>27.5</v>
      </c>
      <c r="O16" s="39">
        <v>18.829999999999998</v>
      </c>
    </row>
    <row r="17" spans="1:15" ht="15.75" x14ac:dyDescent="0.25">
      <c r="A17" s="7" t="s">
        <v>14</v>
      </c>
      <c r="B17" s="8" t="s">
        <v>30</v>
      </c>
      <c r="C17" s="9">
        <f t="shared" si="0"/>
        <v>0.91749999999999998</v>
      </c>
      <c r="D17" s="9">
        <f t="shared" si="1"/>
        <v>1.5199999999999998</v>
      </c>
      <c r="E17" s="9">
        <f t="shared" si="2"/>
        <v>1.1575</v>
      </c>
      <c r="F17" s="9">
        <f t="shared" si="3"/>
        <v>2.1216666666666666</v>
      </c>
      <c r="G17" s="35">
        <v>16</v>
      </c>
      <c r="H17" s="34">
        <v>24.91</v>
      </c>
      <c r="J17" s="36">
        <v>12</v>
      </c>
      <c r="K17" s="38">
        <v>12</v>
      </c>
      <c r="L17" s="37">
        <v>11.01</v>
      </c>
      <c r="M17" s="37">
        <v>18.239999999999998</v>
      </c>
      <c r="N17" s="39">
        <v>13.89</v>
      </c>
      <c r="O17" s="39">
        <v>25.46</v>
      </c>
    </row>
    <row r="18" spans="1:15" ht="15.75" x14ac:dyDescent="0.25">
      <c r="A18" s="7" t="s">
        <v>14</v>
      </c>
      <c r="B18" s="8" t="s">
        <v>31</v>
      </c>
      <c r="C18" s="9">
        <f t="shared" si="0"/>
        <v>1.8484615384615386</v>
      </c>
      <c r="D18" s="9">
        <f t="shared" si="1"/>
        <v>1.5138461538461538</v>
      </c>
      <c r="E18" s="9">
        <f t="shared" si="2"/>
        <v>1.345</v>
      </c>
      <c r="F18" s="9">
        <f t="shared" si="3"/>
        <v>1.4741666666666668</v>
      </c>
      <c r="G18" s="35">
        <v>37</v>
      </c>
      <c r="H18" s="34">
        <v>40.17</v>
      </c>
      <c r="J18" s="36">
        <v>13</v>
      </c>
      <c r="K18" s="38">
        <v>12</v>
      </c>
      <c r="L18" s="37">
        <v>24.03</v>
      </c>
      <c r="M18" s="37">
        <v>19.68</v>
      </c>
      <c r="N18" s="39">
        <v>16.14</v>
      </c>
      <c r="O18" s="39">
        <v>17.690000000000001</v>
      </c>
    </row>
    <row r="19" spans="1:15" ht="15.75" x14ac:dyDescent="0.25">
      <c r="A19" s="7" t="s">
        <v>14</v>
      </c>
      <c r="B19" s="8" t="s">
        <v>32</v>
      </c>
      <c r="C19" s="9">
        <f t="shared" si="0"/>
        <v>1.1630769230769231</v>
      </c>
      <c r="D19" s="9">
        <f t="shared" si="1"/>
        <v>1.6269230769230769</v>
      </c>
      <c r="E19" s="9">
        <f t="shared" si="2"/>
        <v>1.0491666666666666</v>
      </c>
      <c r="F19" s="9">
        <f t="shared" si="3"/>
        <v>1.9416666666666667</v>
      </c>
      <c r="G19" s="35">
        <v>32</v>
      </c>
      <c r="H19" s="34">
        <v>27.71</v>
      </c>
      <c r="J19" s="36">
        <v>13</v>
      </c>
      <c r="K19" s="38">
        <v>12</v>
      </c>
      <c r="L19" s="37">
        <v>15.12</v>
      </c>
      <c r="M19" s="37">
        <v>21.15</v>
      </c>
      <c r="N19" s="39">
        <v>12.59</v>
      </c>
      <c r="O19" s="39">
        <v>23.3</v>
      </c>
    </row>
    <row r="20" spans="1:15" ht="15.75" x14ac:dyDescent="0.25">
      <c r="A20" s="7" t="s">
        <v>14</v>
      </c>
      <c r="B20" s="8" t="s">
        <v>33</v>
      </c>
      <c r="C20" s="9">
        <f t="shared" si="0"/>
        <v>1.6575</v>
      </c>
      <c r="D20" s="9">
        <f t="shared" si="1"/>
        <v>1.0058333333333334</v>
      </c>
      <c r="E20" s="9">
        <f t="shared" si="2"/>
        <v>1.0615384615384615</v>
      </c>
      <c r="F20" s="9">
        <f t="shared" si="3"/>
        <v>2.0176923076923079</v>
      </c>
      <c r="G20" s="35">
        <v>26</v>
      </c>
      <c r="H20" s="34">
        <v>33.69</v>
      </c>
      <c r="J20" s="36">
        <v>12</v>
      </c>
      <c r="K20" s="38">
        <v>13</v>
      </c>
      <c r="L20" s="37">
        <v>19.89</v>
      </c>
      <c r="M20" s="37">
        <v>12.07</v>
      </c>
      <c r="N20" s="39">
        <v>13.8</v>
      </c>
      <c r="O20" s="39">
        <v>26.23</v>
      </c>
    </row>
    <row r="21" spans="1:15" ht="15.75" x14ac:dyDescent="0.25">
      <c r="A21" s="10" t="s">
        <v>14</v>
      </c>
      <c r="B21" s="11" t="s">
        <v>34</v>
      </c>
      <c r="C21" s="12">
        <f t="shared" si="0"/>
        <v>2.0446153846153843</v>
      </c>
      <c r="D21" s="12">
        <f t="shared" si="1"/>
        <v>1.2738461538461539</v>
      </c>
      <c r="E21" s="12">
        <f t="shared" si="2"/>
        <v>1.5683333333333334</v>
      </c>
      <c r="F21" s="12">
        <f t="shared" si="3"/>
        <v>1.4524999999999999</v>
      </c>
      <c r="G21" s="35">
        <v>47</v>
      </c>
      <c r="H21" s="34">
        <v>45.4</v>
      </c>
      <c r="J21" s="36">
        <v>13</v>
      </c>
      <c r="K21" s="38">
        <v>12</v>
      </c>
      <c r="L21" s="37">
        <v>26.58</v>
      </c>
      <c r="M21" s="37">
        <v>16.559999999999999</v>
      </c>
      <c r="N21" s="39">
        <v>18.82</v>
      </c>
      <c r="O21" s="39">
        <v>17.43</v>
      </c>
    </row>
    <row r="22" spans="1:15" ht="15.75" x14ac:dyDescent="0.25">
      <c r="A22" s="13" t="s">
        <v>35</v>
      </c>
      <c r="B22" s="5" t="s">
        <v>36</v>
      </c>
      <c r="C22" s="6">
        <f t="shared" si="0"/>
        <v>2.0815384615384613</v>
      </c>
      <c r="D22" s="6">
        <f t="shared" si="1"/>
        <v>0.69769230769230772</v>
      </c>
      <c r="E22" s="6">
        <f t="shared" si="2"/>
        <v>1.9693333333333334</v>
      </c>
      <c r="F22" s="6">
        <f>O22/K22</f>
        <v>0.83466666666666667</v>
      </c>
      <c r="G22" s="29">
        <v>56</v>
      </c>
      <c r="H22" s="30">
        <v>56.6</v>
      </c>
      <c r="J22" s="28">
        <v>13</v>
      </c>
      <c r="K22" s="28">
        <v>15</v>
      </c>
      <c r="L22" s="28">
        <v>27.06</v>
      </c>
      <c r="M22" s="28">
        <v>9.07</v>
      </c>
      <c r="N22" s="28">
        <v>29.54</v>
      </c>
      <c r="O22" s="28">
        <v>12.52</v>
      </c>
    </row>
    <row r="23" spans="1:15" ht="15.75" x14ac:dyDescent="0.25">
      <c r="A23" s="14" t="s">
        <v>35</v>
      </c>
      <c r="B23" s="8" t="s">
        <v>37</v>
      </c>
      <c r="C23" s="9">
        <f t="shared" si="0"/>
        <v>1.3871428571428572</v>
      </c>
      <c r="D23" s="9">
        <f t="shared" si="1"/>
        <v>1.1721428571428572</v>
      </c>
      <c r="E23" s="9">
        <f t="shared" si="2"/>
        <v>1.3228571428571427</v>
      </c>
      <c r="F23" s="9">
        <f>O23/K23</f>
        <v>1.787857142857143</v>
      </c>
      <c r="G23" s="28">
        <v>38</v>
      </c>
      <c r="H23" s="31">
        <v>37.94</v>
      </c>
      <c r="J23" s="28">
        <v>14</v>
      </c>
      <c r="K23" s="28">
        <v>14</v>
      </c>
      <c r="L23" s="28">
        <v>19.420000000000002</v>
      </c>
      <c r="M23" s="28">
        <v>16.41</v>
      </c>
      <c r="N23" s="28">
        <v>18.52</v>
      </c>
      <c r="O23" s="28">
        <v>25.03</v>
      </c>
    </row>
    <row r="24" spans="1:15" ht="15.75" x14ac:dyDescent="0.25">
      <c r="A24" s="14" t="s">
        <v>35</v>
      </c>
      <c r="B24" s="8" t="s">
        <v>38</v>
      </c>
      <c r="C24" s="9">
        <f t="shared" si="0"/>
        <v>1.5692307692307692</v>
      </c>
      <c r="D24" s="9">
        <f t="shared" si="1"/>
        <v>0.73307692307692307</v>
      </c>
      <c r="E24" s="9">
        <f t="shared" si="2"/>
        <v>1.7949999999999999</v>
      </c>
      <c r="F24" s="9">
        <f t="shared" si="3"/>
        <v>2.2014285714285715</v>
      </c>
      <c r="G24" s="28">
        <v>43</v>
      </c>
      <c r="H24" s="31">
        <v>45.54</v>
      </c>
      <c r="J24" s="28">
        <v>13</v>
      </c>
      <c r="K24" s="28">
        <v>14</v>
      </c>
      <c r="L24" s="28">
        <v>20.399999999999999</v>
      </c>
      <c r="M24" s="28">
        <v>9.5299999999999994</v>
      </c>
      <c r="N24" s="28">
        <v>25.13</v>
      </c>
      <c r="O24" s="28">
        <v>30.82</v>
      </c>
    </row>
    <row r="25" spans="1:15" ht="15.75" x14ac:dyDescent="0.25">
      <c r="A25" s="14" t="s">
        <v>35</v>
      </c>
      <c r="B25" s="8" t="s">
        <v>39</v>
      </c>
      <c r="C25" s="9">
        <f t="shared" si="0"/>
        <v>2.0707142857142857</v>
      </c>
      <c r="D25" s="9">
        <f t="shared" si="1"/>
        <v>1.3107142857142857</v>
      </c>
      <c r="E25" s="9">
        <f t="shared" si="2"/>
        <v>1.4769230769230768</v>
      </c>
      <c r="F25" s="9">
        <f t="shared" si="3"/>
        <v>1.6346153846153846</v>
      </c>
      <c r="G25" s="28">
        <v>40</v>
      </c>
      <c r="H25" s="31">
        <v>48.19</v>
      </c>
      <c r="J25" s="28">
        <v>14</v>
      </c>
      <c r="K25" s="28">
        <v>13</v>
      </c>
      <c r="L25" s="28">
        <v>28.99</v>
      </c>
      <c r="M25" s="28">
        <v>18.350000000000001</v>
      </c>
      <c r="N25" s="28">
        <v>19.2</v>
      </c>
      <c r="O25" s="28">
        <v>21.25</v>
      </c>
    </row>
    <row r="26" spans="1:15" ht="15.75" x14ac:dyDescent="0.25">
      <c r="A26" s="14" t="s">
        <v>35</v>
      </c>
      <c r="B26" s="8" t="s">
        <v>40</v>
      </c>
      <c r="C26" s="9">
        <f t="shared" si="0"/>
        <v>1.473076923076923</v>
      </c>
      <c r="D26" s="9">
        <f t="shared" si="1"/>
        <v>1.4161538461538461</v>
      </c>
      <c r="E26" s="9">
        <f t="shared" si="2"/>
        <v>1.4885714285714287</v>
      </c>
      <c r="F26" s="9">
        <f t="shared" si="3"/>
        <v>1.6421428571428571</v>
      </c>
      <c r="G26" s="28">
        <v>36</v>
      </c>
      <c r="H26" s="31">
        <v>39.979999999999997</v>
      </c>
      <c r="J26" s="28">
        <v>13</v>
      </c>
      <c r="K26" s="28">
        <v>14</v>
      </c>
      <c r="L26" s="28">
        <v>19.149999999999999</v>
      </c>
      <c r="M26" s="28">
        <v>18.41</v>
      </c>
      <c r="N26" s="28">
        <v>20.84</v>
      </c>
      <c r="O26" s="28">
        <v>22.99</v>
      </c>
    </row>
    <row r="27" spans="1:15" ht="15.75" x14ac:dyDescent="0.25">
      <c r="A27" s="14" t="s">
        <v>35</v>
      </c>
      <c r="B27" s="8" t="s">
        <v>41</v>
      </c>
      <c r="C27" s="9">
        <f t="shared" si="0"/>
        <v>1.0523076923076924</v>
      </c>
      <c r="D27" s="9">
        <f t="shared" si="1"/>
        <v>1.8415384615384616</v>
      </c>
      <c r="E27" s="9">
        <f t="shared" si="2"/>
        <v>0.86142857142857143</v>
      </c>
      <c r="F27" s="9">
        <f t="shared" si="3"/>
        <v>2.5242857142857145</v>
      </c>
      <c r="G27" s="28">
        <v>29</v>
      </c>
      <c r="H27" s="31">
        <v>25.74</v>
      </c>
      <c r="J27" s="28">
        <v>13</v>
      </c>
      <c r="K27" s="28">
        <v>14</v>
      </c>
      <c r="L27" s="28">
        <v>13.68</v>
      </c>
      <c r="M27" s="28">
        <v>23.94</v>
      </c>
      <c r="N27" s="28">
        <v>12.06</v>
      </c>
      <c r="O27" s="28">
        <v>35.340000000000003</v>
      </c>
    </row>
    <row r="28" spans="1:15" ht="15.75" x14ac:dyDescent="0.25">
      <c r="A28" s="14" t="s">
        <v>35</v>
      </c>
      <c r="B28" s="8" t="s">
        <v>42</v>
      </c>
      <c r="C28" s="9">
        <f t="shared" si="0"/>
        <v>2.1435714285714287</v>
      </c>
      <c r="D28" s="9">
        <f t="shared" si="1"/>
        <v>1.542142857142857</v>
      </c>
      <c r="E28" s="9">
        <f t="shared" si="2"/>
        <v>2.0615384615384618</v>
      </c>
      <c r="F28" s="9">
        <f t="shared" si="3"/>
        <v>1.4223076923076923</v>
      </c>
      <c r="G28" s="28">
        <v>48</v>
      </c>
      <c r="H28" s="31">
        <v>56.81</v>
      </c>
      <c r="J28" s="28">
        <v>14</v>
      </c>
      <c r="K28" s="28">
        <v>13</v>
      </c>
      <c r="L28" s="28">
        <v>30.01</v>
      </c>
      <c r="M28" s="28">
        <v>21.59</v>
      </c>
      <c r="N28" s="28">
        <v>26.8</v>
      </c>
      <c r="O28" s="28">
        <v>18.489999999999998</v>
      </c>
    </row>
    <row r="29" spans="1:15" ht="15.75" x14ac:dyDescent="0.25">
      <c r="A29" s="14" t="s">
        <v>35</v>
      </c>
      <c r="B29" s="8" t="s">
        <v>43</v>
      </c>
      <c r="C29" s="9">
        <f t="shared" si="0"/>
        <v>1.94</v>
      </c>
      <c r="D29" s="9">
        <f t="shared" si="1"/>
        <v>1.5192857142857144</v>
      </c>
      <c r="E29" s="9">
        <f t="shared" si="2"/>
        <v>1.4753846153846153</v>
      </c>
      <c r="F29" s="9">
        <f t="shared" si="3"/>
        <v>1.4492307692307693</v>
      </c>
      <c r="G29" s="28">
        <v>29</v>
      </c>
      <c r="H29" s="31">
        <v>46.34</v>
      </c>
      <c r="J29" s="28">
        <v>14</v>
      </c>
      <c r="K29" s="28">
        <v>13</v>
      </c>
      <c r="L29" s="28">
        <v>27.16</v>
      </c>
      <c r="M29" s="28">
        <v>21.27</v>
      </c>
      <c r="N29" s="28">
        <v>19.18</v>
      </c>
      <c r="O29" s="28">
        <v>18.84</v>
      </c>
    </row>
    <row r="30" spans="1:15" ht="15.75" x14ac:dyDescent="0.25">
      <c r="A30" s="14" t="s">
        <v>35</v>
      </c>
      <c r="B30" s="8" t="s">
        <v>44</v>
      </c>
      <c r="C30" s="9">
        <f t="shared" si="0"/>
        <v>1.3821428571428573</v>
      </c>
      <c r="D30" s="9">
        <f t="shared" si="1"/>
        <v>1.4885714285714287</v>
      </c>
      <c r="E30" s="9">
        <f t="shared" si="2"/>
        <v>1.1376923076923076</v>
      </c>
      <c r="F30" s="9">
        <f t="shared" si="3"/>
        <v>1.6261538461538463</v>
      </c>
      <c r="G30" s="28">
        <v>29</v>
      </c>
      <c r="H30" s="31">
        <v>34.14</v>
      </c>
      <c r="J30" s="28">
        <v>14</v>
      </c>
      <c r="K30" s="28">
        <v>13</v>
      </c>
      <c r="L30" s="28">
        <v>19.350000000000001</v>
      </c>
      <c r="M30" s="28">
        <v>20.84</v>
      </c>
      <c r="N30" s="28">
        <v>14.79</v>
      </c>
      <c r="O30" s="28">
        <v>21.14</v>
      </c>
    </row>
    <row r="31" spans="1:15" ht="15.75" x14ac:dyDescent="0.25">
      <c r="A31" s="14" t="s">
        <v>35</v>
      </c>
      <c r="B31" s="8" t="s">
        <v>45</v>
      </c>
      <c r="C31" s="9">
        <f t="shared" si="0"/>
        <v>1.3861538461538461</v>
      </c>
      <c r="D31" s="9">
        <f t="shared" si="1"/>
        <v>1.3753846153846152</v>
      </c>
      <c r="E31" s="9">
        <f t="shared" si="2"/>
        <v>1.1135714285714287</v>
      </c>
      <c r="F31" s="9">
        <f t="shared" si="3"/>
        <v>1.8350000000000002</v>
      </c>
      <c r="G31" s="28">
        <v>38</v>
      </c>
      <c r="H31" s="31">
        <v>33.61</v>
      </c>
      <c r="J31" s="28">
        <v>13</v>
      </c>
      <c r="K31" s="28">
        <v>14</v>
      </c>
      <c r="L31" s="28">
        <v>18.02</v>
      </c>
      <c r="M31" s="28">
        <v>17.88</v>
      </c>
      <c r="N31" s="28">
        <v>15.59</v>
      </c>
      <c r="O31" s="28">
        <v>25.69</v>
      </c>
    </row>
    <row r="32" spans="1:15" ht="15.75" x14ac:dyDescent="0.25">
      <c r="A32" s="14" t="s">
        <v>35</v>
      </c>
      <c r="B32" s="8" t="s">
        <v>46</v>
      </c>
      <c r="C32" s="9">
        <f t="shared" si="0"/>
        <v>1.8661538461538463</v>
      </c>
      <c r="D32" s="9">
        <f t="shared" si="1"/>
        <v>1.2723076923076921</v>
      </c>
      <c r="E32" s="9">
        <f t="shared" si="2"/>
        <v>1.2357142857142858</v>
      </c>
      <c r="F32" s="9">
        <f t="shared" si="3"/>
        <v>1.7792857142857144</v>
      </c>
      <c r="G32" s="28">
        <v>37</v>
      </c>
      <c r="H32" s="31">
        <v>41.56</v>
      </c>
      <c r="J32" s="28">
        <v>13</v>
      </c>
      <c r="K32" s="28">
        <v>14</v>
      </c>
      <c r="L32" s="28">
        <v>24.26</v>
      </c>
      <c r="M32" s="28">
        <v>16.54</v>
      </c>
      <c r="N32" s="28">
        <v>17.3</v>
      </c>
      <c r="O32" s="28">
        <v>24.91</v>
      </c>
    </row>
    <row r="33" spans="1:15" ht="15.75" x14ac:dyDescent="0.25">
      <c r="A33" s="14" t="s">
        <v>35</v>
      </c>
      <c r="B33" s="8" t="s">
        <v>47</v>
      </c>
      <c r="C33" s="9">
        <f t="shared" si="0"/>
        <v>1.8946153846153846</v>
      </c>
      <c r="D33" s="9">
        <f t="shared" si="1"/>
        <v>1.0407692307692307</v>
      </c>
      <c r="E33" s="9">
        <f t="shared" si="2"/>
        <v>1.7892857142857144</v>
      </c>
      <c r="F33" s="9">
        <f t="shared" si="3"/>
        <v>1.537857142857143</v>
      </c>
      <c r="G33" s="28">
        <v>42</v>
      </c>
      <c r="H33" s="31">
        <v>49.68</v>
      </c>
      <c r="J33" s="28">
        <v>13</v>
      </c>
      <c r="K33" s="28">
        <v>14</v>
      </c>
      <c r="L33" s="28">
        <v>24.63</v>
      </c>
      <c r="M33" s="28">
        <v>13.53</v>
      </c>
      <c r="N33" s="28">
        <v>25.05</v>
      </c>
      <c r="O33" s="28">
        <v>21.53</v>
      </c>
    </row>
    <row r="34" spans="1:15" ht="15.75" x14ac:dyDescent="0.25">
      <c r="A34" s="14" t="s">
        <v>35</v>
      </c>
      <c r="B34" s="8" t="s">
        <v>48</v>
      </c>
      <c r="C34" s="9">
        <f t="shared" si="0"/>
        <v>2.2028571428571428</v>
      </c>
      <c r="D34" s="9">
        <f t="shared" si="1"/>
        <v>1.0642857142857143</v>
      </c>
      <c r="E34" s="9">
        <f t="shared" si="2"/>
        <v>1.7338461538461538</v>
      </c>
      <c r="F34" s="9">
        <f t="shared" si="3"/>
        <v>1.3123076923076922</v>
      </c>
      <c r="G34" s="28">
        <v>56</v>
      </c>
      <c r="H34" s="31">
        <v>53.38</v>
      </c>
      <c r="J34" s="28">
        <v>14</v>
      </c>
      <c r="K34" s="28">
        <v>13</v>
      </c>
      <c r="L34" s="28">
        <v>30.84</v>
      </c>
      <c r="M34" s="28">
        <v>14.9</v>
      </c>
      <c r="N34" s="28">
        <v>22.54</v>
      </c>
      <c r="O34" s="28">
        <v>17.059999999999999</v>
      </c>
    </row>
    <row r="35" spans="1:15" ht="15.75" x14ac:dyDescent="0.25">
      <c r="A35" s="14" t="s">
        <v>35</v>
      </c>
      <c r="B35" s="8" t="s">
        <v>49</v>
      </c>
      <c r="C35" s="9">
        <f t="shared" si="0"/>
        <v>2.1192307692307693</v>
      </c>
      <c r="D35" s="9">
        <f t="shared" si="1"/>
        <v>1.0615384615384615</v>
      </c>
      <c r="E35" s="9">
        <f t="shared" si="2"/>
        <v>1.6928571428571428</v>
      </c>
      <c r="F35" s="9">
        <f t="shared" si="3"/>
        <v>1.4857142857142858</v>
      </c>
      <c r="G35" s="28">
        <v>48</v>
      </c>
      <c r="H35" s="31">
        <v>51.26</v>
      </c>
      <c r="J35" s="28">
        <v>13</v>
      </c>
      <c r="K35" s="28">
        <v>14</v>
      </c>
      <c r="L35" s="28">
        <v>27.55</v>
      </c>
      <c r="M35" s="28">
        <v>13.8</v>
      </c>
      <c r="N35" s="28">
        <v>23.7</v>
      </c>
      <c r="O35" s="28">
        <v>20.8</v>
      </c>
    </row>
    <row r="36" spans="1:15" ht="15.75" x14ac:dyDescent="0.25">
      <c r="A36" s="14" t="s">
        <v>35</v>
      </c>
      <c r="B36" s="8" t="s">
        <v>50</v>
      </c>
      <c r="C36" s="9">
        <f t="shared" si="0"/>
        <v>2.2999999999999998</v>
      </c>
      <c r="D36" s="9">
        <f t="shared" si="1"/>
        <v>1.3592307692307695</v>
      </c>
      <c r="E36" s="9">
        <f t="shared" si="2"/>
        <v>1.03</v>
      </c>
      <c r="F36" s="9">
        <f t="shared" si="3"/>
        <v>1.2764285714285715</v>
      </c>
      <c r="G36" s="28">
        <v>38</v>
      </c>
      <c r="H36" s="31">
        <v>44.32</v>
      </c>
      <c r="J36" s="28">
        <v>13</v>
      </c>
      <c r="K36" s="28">
        <v>14</v>
      </c>
      <c r="L36" s="28">
        <v>29.9</v>
      </c>
      <c r="M36" s="28">
        <v>17.670000000000002</v>
      </c>
      <c r="N36" s="28">
        <v>14.42</v>
      </c>
      <c r="O36" s="28">
        <v>17.87</v>
      </c>
    </row>
    <row r="37" spans="1:15" ht="15.75" x14ac:dyDescent="0.25">
      <c r="A37" s="14" t="s">
        <v>35</v>
      </c>
      <c r="B37" s="8" t="s">
        <v>51</v>
      </c>
      <c r="C37" s="9">
        <f t="shared" si="0"/>
        <v>1.5399999999999998</v>
      </c>
      <c r="D37" s="9">
        <f t="shared" si="1"/>
        <v>1.5935714285714284</v>
      </c>
      <c r="E37" s="9">
        <f t="shared" si="2"/>
        <v>0.87923076923076926</v>
      </c>
      <c r="F37" s="9">
        <f t="shared" si="3"/>
        <v>1.8407692307692307</v>
      </c>
      <c r="G37" s="28">
        <v>25</v>
      </c>
      <c r="H37" s="31">
        <v>32.99</v>
      </c>
      <c r="J37" s="28">
        <v>14</v>
      </c>
      <c r="K37" s="28">
        <v>13</v>
      </c>
      <c r="L37" s="28">
        <v>21.56</v>
      </c>
      <c r="M37" s="28">
        <v>22.31</v>
      </c>
      <c r="N37" s="28">
        <v>11.43</v>
      </c>
      <c r="O37" s="28">
        <v>23.93</v>
      </c>
    </row>
    <row r="38" spans="1:15" ht="15.75" x14ac:dyDescent="0.25">
      <c r="A38" s="14" t="s">
        <v>35</v>
      </c>
      <c r="B38" s="8" t="s">
        <v>52</v>
      </c>
      <c r="C38" s="9">
        <f t="shared" si="0"/>
        <v>1.1714285714285713</v>
      </c>
      <c r="D38" s="9">
        <f t="shared" si="1"/>
        <v>1.4642857142857142</v>
      </c>
      <c r="E38" s="9">
        <f t="shared" si="2"/>
        <v>0.9046153846153846</v>
      </c>
      <c r="F38" s="9">
        <f t="shared" si="3"/>
        <v>1.81</v>
      </c>
      <c r="G38" s="28">
        <v>28</v>
      </c>
      <c r="H38" s="31">
        <v>28.16</v>
      </c>
      <c r="J38" s="28">
        <v>14</v>
      </c>
      <c r="K38" s="28">
        <v>13</v>
      </c>
      <c r="L38" s="28">
        <v>16.399999999999999</v>
      </c>
      <c r="M38" s="28">
        <v>20.5</v>
      </c>
      <c r="N38" s="28">
        <v>11.76</v>
      </c>
      <c r="O38" s="28">
        <v>23.53</v>
      </c>
    </row>
    <row r="39" spans="1:15" ht="15.75" x14ac:dyDescent="0.25">
      <c r="A39" s="14" t="s">
        <v>35</v>
      </c>
      <c r="B39" s="8" t="s">
        <v>53</v>
      </c>
      <c r="C39" s="9">
        <f t="shared" si="0"/>
        <v>1.2457142857142858</v>
      </c>
      <c r="D39" s="9">
        <f t="shared" si="1"/>
        <v>1.5557142857142858</v>
      </c>
      <c r="E39" s="9">
        <f t="shared" si="2"/>
        <v>1.1169230769230769</v>
      </c>
      <c r="F39" s="9">
        <f t="shared" si="3"/>
        <v>1.4776923076923079</v>
      </c>
      <c r="G39" s="28">
        <v>37</v>
      </c>
      <c r="H39" s="31">
        <v>31.96</v>
      </c>
      <c r="J39" s="28">
        <v>14</v>
      </c>
      <c r="K39" s="28">
        <v>13</v>
      </c>
      <c r="L39" s="28">
        <v>17.440000000000001</v>
      </c>
      <c r="M39" s="28">
        <v>21.78</v>
      </c>
      <c r="N39" s="28">
        <v>14.52</v>
      </c>
      <c r="O39" s="28">
        <v>19.21</v>
      </c>
    </row>
    <row r="40" spans="1:15" ht="15.75" x14ac:dyDescent="0.25">
      <c r="A40" s="14" t="s">
        <v>35</v>
      </c>
      <c r="B40" s="8" t="s">
        <v>54</v>
      </c>
      <c r="C40" s="9">
        <f t="shared" si="0"/>
        <v>1.3935714285714287</v>
      </c>
      <c r="D40" s="9">
        <f t="shared" si="1"/>
        <v>1.6621428571428571</v>
      </c>
      <c r="E40" s="9">
        <f t="shared" si="2"/>
        <v>1.1746153846153846</v>
      </c>
      <c r="F40" s="9">
        <f t="shared" si="3"/>
        <v>2.1130769230769229</v>
      </c>
      <c r="G40" s="28">
        <v>32</v>
      </c>
      <c r="H40" s="31">
        <v>34.78</v>
      </c>
      <c r="J40" s="28">
        <v>14</v>
      </c>
      <c r="K40" s="28">
        <v>13</v>
      </c>
      <c r="L40" s="28">
        <v>19.510000000000002</v>
      </c>
      <c r="M40" s="28">
        <v>23.27</v>
      </c>
      <c r="N40" s="28">
        <v>15.27</v>
      </c>
      <c r="O40" s="28">
        <v>27.47</v>
      </c>
    </row>
    <row r="41" spans="1:15" ht="15.75" x14ac:dyDescent="0.25">
      <c r="A41" s="15" t="s">
        <v>35</v>
      </c>
      <c r="B41" s="11" t="s">
        <v>55</v>
      </c>
      <c r="C41" s="12">
        <f t="shared" si="0"/>
        <v>1.1819999999999999</v>
      </c>
      <c r="D41" s="12">
        <f t="shared" si="1"/>
        <v>1.7093333333333334</v>
      </c>
      <c r="E41" s="12">
        <f t="shared" si="2"/>
        <v>0.68285714285714294</v>
      </c>
      <c r="F41" s="12">
        <f t="shared" si="3"/>
        <v>1.7578571428571428</v>
      </c>
      <c r="G41" s="32">
        <v>20</v>
      </c>
      <c r="H41" s="33">
        <v>27.28</v>
      </c>
      <c r="J41" s="28">
        <v>15</v>
      </c>
      <c r="K41" s="28">
        <v>14</v>
      </c>
      <c r="L41" s="28">
        <v>17.73</v>
      </c>
      <c r="M41" s="28">
        <v>25.64</v>
      </c>
      <c r="N41" s="28">
        <v>9.56</v>
      </c>
      <c r="O41" s="28">
        <v>24.61</v>
      </c>
    </row>
    <row r="42" spans="1:15" ht="15.75" x14ac:dyDescent="0.25">
      <c r="A42" s="16" t="s">
        <v>56</v>
      </c>
      <c r="B42" s="5" t="s">
        <v>57</v>
      </c>
      <c r="C42" s="6">
        <f t="shared" si="0"/>
        <v>2.13</v>
      </c>
      <c r="D42" s="6">
        <f t="shared" si="1"/>
        <v>0.98363636363636364</v>
      </c>
      <c r="E42" s="6">
        <f t="shared" si="2"/>
        <v>1.6091666666666666</v>
      </c>
      <c r="F42" s="6">
        <f t="shared" si="3"/>
        <v>1.1641666666666668</v>
      </c>
      <c r="G42" s="29">
        <v>38</v>
      </c>
      <c r="H42" s="30">
        <v>42.74</v>
      </c>
      <c r="J42" s="28">
        <v>11</v>
      </c>
      <c r="K42" s="28">
        <v>12</v>
      </c>
      <c r="L42" s="28">
        <v>23.43</v>
      </c>
      <c r="M42" s="28">
        <v>10.82</v>
      </c>
      <c r="N42" s="28">
        <v>19.309999999999999</v>
      </c>
      <c r="O42" s="28">
        <v>13.97</v>
      </c>
    </row>
    <row r="43" spans="1:15" ht="15.75" x14ac:dyDescent="0.25">
      <c r="A43" s="18" t="s">
        <v>56</v>
      </c>
      <c r="B43" s="8" t="s">
        <v>58</v>
      </c>
      <c r="C43" s="9">
        <f t="shared" si="0"/>
        <v>2.3661538461538463</v>
      </c>
      <c r="D43" s="9">
        <f t="shared" si="1"/>
        <v>1.1176923076923075</v>
      </c>
      <c r="E43" s="9">
        <f t="shared" si="2"/>
        <v>1.2636363636363637</v>
      </c>
      <c r="F43" s="9">
        <f t="shared" si="3"/>
        <v>1.718181818181818</v>
      </c>
      <c r="G43" s="28">
        <v>32</v>
      </c>
      <c r="H43" s="31">
        <v>44.66</v>
      </c>
      <c r="J43" s="28">
        <v>13</v>
      </c>
      <c r="K43" s="28">
        <v>11</v>
      </c>
      <c r="L43" s="28">
        <v>30.76</v>
      </c>
      <c r="M43" s="28">
        <v>14.53</v>
      </c>
      <c r="N43" s="28">
        <v>13.9</v>
      </c>
      <c r="O43" s="28">
        <v>18.899999999999999</v>
      </c>
    </row>
    <row r="44" spans="1:15" ht="15.75" x14ac:dyDescent="0.25">
      <c r="A44" s="18" t="s">
        <v>56</v>
      </c>
      <c r="B44" s="8" t="s">
        <v>59</v>
      </c>
      <c r="C44" s="9">
        <f t="shared" si="0"/>
        <v>1.4625000000000001</v>
      </c>
      <c r="D44" s="9">
        <f t="shared" si="1"/>
        <v>1.2324999999999999</v>
      </c>
      <c r="E44" s="9">
        <f t="shared" si="2"/>
        <v>1.2933333333333332</v>
      </c>
      <c r="F44" s="9">
        <f t="shared" si="3"/>
        <v>1.71</v>
      </c>
      <c r="G44" s="28">
        <v>32</v>
      </c>
      <c r="H44" s="31">
        <v>33.08</v>
      </c>
      <c r="J44" s="28">
        <v>12</v>
      </c>
      <c r="K44" s="28">
        <v>12</v>
      </c>
      <c r="L44" s="28">
        <v>17.55</v>
      </c>
      <c r="M44" s="28">
        <v>14.79</v>
      </c>
      <c r="N44" s="28">
        <v>15.52</v>
      </c>
      <c r="O44" s="28">
        <v>20.52</v>
      </c>
    </row>
    <row r="45" spans="1:15" ht="15.75" x14ac:dyDescent="0.25">
      <c r="A45" s="18" t="s">
        <v>56</v>
      </c>
      <c r="B45" s="8" t="s">
        <v>60</v>
      </c>
      <c r="C45" s="9">
        <f t="shared" si="0"/>
        <v>1.0381818181818181</v>
      </c>
      <c r="D45" s="9">
        <f t="shared" si="1"/>
        <v>1.3981818181818182</v>
      </c>
      <c r="E45" s="9">
        <f t="shared" si="2"/>
        <v>1.0553846153846154</v>
      </c>
      <c r="F45" s="9">
        <f t="shared" si="3"/>
        <v>1.8784615384615386</v>
      </c>
      <c r="G45" s="28">
        <v>28</v>
      </c>
      <c r="H45" s="31">
        <v>25.14</v>
      </c>
      <c r="J45" s="28">
        <v>11</v>
      </c>
      <c r="K45" s="28">
        <v>13</v>
      </c>
      <c r="L45" s="28">
        <v>11.42</v>
      </c>
      <c r="M45" s="28">
        <v>15.38</v>
      </c>
      <c r="N45" s="28">
        <v>13.72</v>
      </c>
      <c r="O45" s="28">
        <v>24.42</v>
      </c>
    </row>
    <row r="46" spans="1:15" ht="15.75" x14ac:dyDescent="0.25">
      <c r="A46" s="18" t="s">
        <v>56</v>
      </c>
      <c r="B46" s="8" t="s">
        <v>61</v>
      </c>
      <c r="C46" s="9">
        <f t="shared" si="0"/>
        <v>2.085</v>
      </c>
      <c r="D46" s="9">
        <f t="shared" si="1"/>
        <v>1.0016666666666667</v>
      </c>
      <c r="E46" s="9">
        <f t="shared" si="2"/>
        <v>1.5281818181818181</v>
      </c>
      <c r="F46" s="9">
        <f t="shared" si="3"/>
        <v>1.3354545454545454</v>
      </c>
      <c r="G46" s="28">
        <v>37</v>
      </c>
      <c r="H46" s="31">
        <v>41.83</v>
      </c>
      <c r="J46" s="28">
        <v>12</v>
      </c>
      <c r="K46" s="28">
        <v>11</v>
      </c>
      <c r="L46" s="28">
        <v>25.02</v>
      </c>
      <c r="M46" s="28">
        <v>12.02</v>
      </c>
      <c r="N46" s="28">
        <v>16.809999999999999</v>
      </c>
      <c r="O46" s="28">
        <v>14.69</v>
      </c>
    </row>
    <row r="47" spans="1:15" ht="15.75" x14ac:dyDescent="0.25">
      <c r="A47" s="18" t="s">
        <v>56</v>
      </c>
      <c r="B47" s="8" t="s">
        <v>62</v>
      </c>
      <c r="C47" s="9">
        <f t="shared" si="0"/>
        <v>1.2127272727272727</v>
      </c>
      <c r="D47" s="9">
        <f t="shared" si="1"/>
        <v>1.6227272727272728</v>
      </c>
      <c r="E47" s="9">
        <f t="shared" si="2"/>
        <v>0.91538461538461546</v>
      </c>
      <c r="F47" s="9">
        <f t="shared" si="3"/>
        <v>2.1</v>
      </c>
      <c r="G47" s="28">
        <v>21</v>
      </c>
      <c r="H47" s="31">
        <v>25.24</v>
      </c>
      <c r="J47" s="28">
        <v>11</v>
      </c>
      <c r="K47" s="28">
        <v>13</v>
      </c>
      <c r="L47" s="28">
        <v>13.34</v>
      </c>
      <c r="M47" s="28">
        <v>17.850000000000001</v>
      </c>
      <c r="N47" s="28">
        <v>11.9</v>
      </c>
      <c r="O47" s="28">
        <v>27.3</v>
      </c>
    </row>
    <row r="48" spans="1:15" ht="15.75" x14ac:dyDescent="0.25">
      <c r="A48" s="18" t="s">
        <v>56</v>
      </c>
      <c r="B48" s="8" t="s">
        <v>63</v>
      </c>
      <c r="C48" s="9">
        <f t="shared" si="0"/>
        <v>1.8733333333333333</v>
      </c>
      <c r="D48" s="9">
        <f t="shared" si="1"/>
        <v>1.5133333333333334</v>
      </c>
      <c r="E48" s="9">
        <f t="shared" si="2"/>
        <v>1.3049999999999999</v>
      </c>
      <c r="F48" s="9">
        <f t="shared" si="3"/>
        <v>1.7725</v>
      </c>
      <c r="G48" s="28">
        <v>27</v>
      </c>
      <c r="H48" s="31">
        <v>38.14</v>
      </c>
      <c r="J48" s="28">
        <v>12</v>
      </c>
      <c r="K48" s="28">
        <v>12</v>
      </c>
      <c r="L48" s="28">
        <v>22.48</v>
      </c>
      <c r="M48" s="28">
        <v>18.16</v>
      </c>
      <c r="N48" s="28">
        <v>15.66</v>
      </c>
      <c r="O48" s="28">
        <v>21.27</v>
      </c>
    </row>
    <row r="49" spans="1:15" ht="15.75" x14ac:dyDescent="0.25">
      <c r="A49" s="18" t="s">
        <v>56</v>
      </c>
      <c r="B49" s="8" t="s">
        <v>64</v>
      </c>
      <c r="C49" s="9">
        <f t="shared" si="0"/>
        <v>1.1661538461538461</v>
      </c>
      <c r="D49" s="9">
        <f t="shared" si="1"/>
        <v>1.5438461538461539</v>
      </c>
      <c r="E49" s="9">
        <f t="shared" si="2"/>
        <v>1.4409090909090909</v>
      </c>
      <c r="F49" s="9">
        <f t="shared" si="3"/>
        <v>1.6127272727272726</v>
      </c>
      <c r="G49" s="28">
        <v>29</v>
      </c>
      <c r="H49" s="31">
        <v>31.01</v>
      </c>
      <c r="J49" s="28">
        <v>13</v>
      </c>
      <c r="K49" s="28">
        <v>11</v>
      </c>
      <c r="L49" s="28">
        <v>15.16</v>
      </c>
      <c r="M49" s="28">
        <v>20.07</v>
      </c>
      <c r="N49" s="28">
        <v>15.85</v>
      </c>
      <c r="O49" s="28">
        <v>17.739999999999998</v>
      </c>
    </row>
    <row r="50" spans="1:15" ht="15.75" x14ac:dyDescent="0.25">
      <c r="A50" s="18" t="s">
        <v>56</v>
      </c>
      <c r="B50" s="8" t="s">
        <v>65</v>
      </c>
      <c r="C50" s="9">
        <f t="shared" si="0"/>
        <v>2.8966666666666665</v>
      </c>
      <c r="D50" s="9">
        <f t="shared" si="1"/>
        <v>0.80583333333333329</v>
      </c>
      <c r="E50" s="9">
        <f t="shared" si="2"/>
        <v>2.09</v>
      </c>
      <c r="F50" s="9">
        <f t="shared" si="3"/>
        <v>0.87083333333333324</v>
      </c>
      <c r="G50" s="28">
        <v>57</v>
      </c>
      <c r="H50" s="31">
        <v>59.84</v>
      </c>
      <c r="J50" s="28">
        <v>12</v>
      </c>
      <c r="K50" s="28">
        <v>12</v>
      </c>
      <c r="L50" s="28">
        <v>34.76</v>
      </c>
      <c r="M50" s="28">
        <v>9.67</v>
      </c>
      <c r="N50" s="28">
        <v>25.08</v>
      </c>
      <c r="O50" s="28">
        <v>10.45</v>
      </c>
    </row>
    <row r="51" spans="1:15" ht="15.75" x14ac:dyDescent="0.25">
      <c r="A51" s="18" t="s">
        <v>56</v>
      </c>
      <c r="B51" s="8" t="s">
        <v>66</v>
      </c>
      <c r="C51" s="9">
        <f t="shared" si="0"/>
        <v>2.2524999999999999</v>
      </c>
      <c r="D51" s="9">
        <f t="shared" si="1"/>
        <v>0.83166666666666667</v>
      </c>
      <c r="E51" s="9">
        <f t="shared" si="2"/>
        <v>1.6166666666666665</v>
      </c>
      <c r="F51" s="9">
        <f t="shared" si="3"/>
        <v>0.90583333333333327</v>
      </c>
      <c r="G51" s="28">
        <v>41</v>
      </c>
      <c r="H51" s="31">
        <v>46.42</v>
      </c>
      <c r="J51" s="28">
        <v>12</v>
      </c>
      <c r="K51" s="28">
        <v>12</v>
      </c>
      <c r="L51" s="28">
        <v>27.03</v>
      </c>
      <c r="M51" s="28">
        <v>9.98</v>
      </c>
      <c r="N51" s="28">
        <v>19.399999999999999</v>
      </c>
      <c r="O51" s="28">
        <v>10.87</v>
      </c>
    </row>
    <row r="52" spans="1:15" ht="15.75" x14ac:dyDescent="0.25">
      <c r="A52" s="18" t="s">
        <v>56</v>
      </c>
      <c r="B52" s="8" t="s">
        <v>67</v>
      </c>
      <c r="C52" s="9">
        <f t="shared" si="0"/>
        <v>1.3658333333333335</v>
      </c>
      <c r="D52" s="9">
        <f t="shared" si="1"/>
        <v>1.4408333333333332</v>
      </c>
      <c r="E52" s="9">
        <f t="shared" si="2"/>
        <v>0.97583333333333344</v>
      </c>
      <c r="F52" s="9">
        <f t="shared" si="3"/>
        <v>1.3574999999999999</v>
      </c>
      <c r="G52" s="28">
        <v>26</v>
      </c>
      <c r="H52" s="31">
        <v>28.11</v>
      </c>
      <c r="J52" s="28">
        <v>12</v>
      </c>
      <c r="K52" s="28">
        <v>12</v>
      </c>
      <c r="L52" s="28">
        <v>16.39</v>
      </c>
      <c r="M52" s="28">
        <v>17.29</v>
      </c>
      <c r="N52" s="28">
        <v>11.71</v>
      </c>
      <c r="O52" s="28">
        <v>16.29</v>
      </c>
    </row>
    <row r="53" spans="1:15" ht="15.75" x14ac:dyDescent="0.25">
      <c r="A53" s="18" t="s">
        <v>56</v>
      </c>
      <c r="B53" s="8" t="s">
        <v>68</v>
      </c>
      <c r="C53" s="9">
        <f t="shared" si="0"/>
        <v>1.1615384615384614</v>
      </c>
      <c r="D53" s="9">
        <f t="shared" si="1"/>
        <v>1.3838461538461537</v>
      </c>
      <c r="E53" s="9">
        <f t="shared" si="2"/>
        <v>0.60181818181818181</v>
      </c>
      <c r="F53" s="9">
        <f t="shared" si="3"/>
        <v>1.9936363636363637</v>
      </c>
      <c r="G53" s="28">
        <v>15</v>
      </c>
      <c r="H53" s="31">
        <v>21.72</v>
      </c>
      <c r="J53" s="28">
        <v>13</v>
      </c>
      <c r="K53" s="28">
        <v>11</v>
      </c>
      <c r="L53" s="28">
        <v>15.1</v>
      </c>
      <c r="M53" s="28">
        <v>17.989999999999998</v>
      </c>
      <c r="N53" s="28">
        <v>6.62</v>
      </c>
      <c r="O53" s="28">
        <v>21.93</v>
      </c>
    </row>
    <row r="54" spans="1:15" ht="15.75" x14ac:dyDescent="0.25">
      <c r="A54" s="18" t="s">
        <v>56</v>
      </c>
      <c r="B54" s="8" t="s">
        <v>69</v>
      </c>
      <c r="C54" s="9">
        <f t="shared" si="0"/>
        <v>1.5281818181818181</v>
      </c>
      <c r="D54" s="9">
        <f t="shared" si="1"/>
        <v>1.1472727272727272</v>
      </c>
      <c r="E54" s="9">
        <f t="shared" si="2"/>
        <v>1.6484615384615384</v>
      </c>
      <c r="F54" s="9">
        <f t="shared" si="3"/>
        <v>1.1453846153846154</v>
      </c>
      <c r="G54" s="28">
        <v>36</v>
      </c>
      <c r="H54" s="31">
        <v>38.24</v>
      </c>
      <c r="J54" s="28">
        <v>11</v>
      </c>
      <c r="K54" s="28">
        <v>13</v>
      </c>
      <c r="L54" s="28">
        <v>16.809999999999999</v>
      </c>
      <c r="M54" s="28">
        <v>12.62</v>
      </c>
      <c r="N54" s="28">
        <v>21.43</v>
      </c>
      <c r="O54" s="28">
        <v>14.89</v>
      </c>
    </row>
    <row r="55" spans="1:15" ht="15.75" x14ac:dyDescent="0.25">
      <c r="A55" s="18" t="s">
        <v>56</v>
      </c>
      <c r="B55" s="8" t="s">
        <v>70</v>
      </c>
      <c r="C55" s="9">
        <f t="shared" si="0"/>
        <v>0.96916666666666673</v>
      </c>
      <c r="D55" s="9">
        <f t="shared" si="1"/>
        <v>1.7508333333333335</v>
      </c>
      <c r="E55" s="9">
        <f t="shared" si="2"/>
        <v>1.0716666666666665</v>
      </c>
      <c r="F55" s="9">
        <f t="shared" si="3"/>
        <v>1.6983333333333333</v>
      </c>
      <c r="G55" s="28">
        <v>16</v>
      </c>
      <c r="H55" s="31">
        <v>24.48</v>
      </c>
      <c r="J55" s="28">
        <v>12</v>
      </c>
      <c r="K55" s="28">
        <v>12</v>
      </c>
      <c r="L55" s="28">
        <v>11.63</v>
      </c>
      <c r="M55" s="28">
        <v>21.01</v>
      </c>
      <c r="N55" s="28">
        <v>12.86</v>
      </c>
      <c r="O55" s="28">
        <v>20.38</v>
      </c>
    </row>
    <row r="56" spans="1:15" ht="15.75" x14ac:dyDescent="0.25">
      <c r="A56" s="18" t="s">
        <v>56</v>
      </c>
      <c r="B56" s="8" t="s">
        <v>71</v>
      </c>
      <c r="C56" s="9">
        <f t="shared" si="0"/>
        <v>1.1216666666666668</v>
      </c>
      <c r="D56" s="9">
        <f t="shared" si="1"/>
        <v>1.4983333333333333</v>
      </c>
      <c r="E56" s="9">
        <f t="shared" si="2"/>
        <v>1.2591666666666665</v>
      </c>
      <c r="F56" s="9">
        <f t="shared" si="3"/>
        <v>2.1183333333333336</v>
      </c>
      <c r="G56" s="28">
        <v>19</v>
      </c>
      <c r="H56" s="31">
        <v>28.58</v>
      </c>
      <c r="J56" s="28">
        <v>12</v>
      </c>
      <c r="K56" s="28">
        <v>12</v>
      </c>
      <c r="L56" s="28">
        <v>13.46</v>
      </c>
      <c r="M56" s="28">
        <v>17.98</v>
      </c>
      <c r="N56" s="28">
        <v>15.11</v>
      </c>
      <c r="O56" s="28">
        <v>25.42</v>
      </c>
    </row>
    <row r="57" spans="1:15" ht="15.75" x14ac:dyDescent="0.25">
      <c r="A57" s="18" t="s">
        <v>56</v>
      </c>
      <c r="B57" s="8" t="s">
        <v>72</v>
      </c>
      <c r="C57" s="9">
        <f t="shared" si="0"/>
        <v>1.6924999999999999</v>
      </c>
      <c r="D57" s="9">
        <f t="shared" si="1"/>
        <v>0.85083333333333344</v>
      </c>
      <c r="E57" s="9">
        <f t="shared" si="2"/>
        <v>1.3908333333333334</v>
      </c>
      <c r="F57" s="9">
        <f t="shared" si="3"/>
        <v>1.4408333333333332</v>
      </c>
      <c r="G57" s="28">
        <v>29</v>
      </c>
      <c r="H57" s="31">
        <v>36.99</v>
      </c>
      <c r="J57" s="28">
        <v>12</v>
      </c>
      <c r="K57" s="28">
        <v>12</v>
      </c>
      <c r="L57" s="28">
        <v>20.309999999999999</v>
      </c>
      <c r="M57" s="28">
        <v>10.210000000000001</v>
      </c>
      <c r="N57" s="28">
        <v>16.690000000000001</v>
      </c>
      <c r="O57" s="28">
        <v>17.29</v>
      </c>
    </row>
    <row r="58" spans="1:15" ht="15.75" x14ac:dyDescent="0.25">
      <c r="A58" s="18" t="s">
        <v>56</v>
      </c>
      <c r="B58" s="8" t="s">
        <v>73</v>
      </c>
      <c r="C58" s="9">
        <f t="shared" si="0"/>
        <v>1.1533333333333333</v>
      </c>
      <c r="D58" s="9">
        <f t="shared" si="1"/>
        <v>1.665</v>
      </c>
      <c r="E58" s="9">
        <f t="shared" si="2"/>
        <v>1.2883333333333333</v>
      </c>
      <c r="F58" s="9">
        <f t="shared" si="3"/>
        <v>1.5441666666666667</v>
      </c>
      <c r="G58" s="28">
        <v>27</v>
      </c>
      <c r="H58" s="31">
        <v>29.3</v>
      </c>
      <c r="J58" s="28">
        <v>12</v>
      </c>
      <c r="K58" s="28">
        <v>12</v>
      </c>
      <c r="L58" s="28">
        <v>13.84</v>
      </c>
      <c r="M58" s="28">
        <v>19.98</v>
      </c>
      <c r="N58" s="28">
        <v>15.46</v>
      </c>
      <c r="O58" s="28">
        <v>18.53</v>
      </c>
    </row>
    <row r="59" spans="1:15" ht="15.75" x14ac:dyDescent="0.25">
      <c r="A59" s="18" t="s">
        <v>56</v>
      </c>
      <c r="B59" s="8" t="s">
        <v>74</v>
      </c>
      <c r="C59" s="9">
        <f t="shared" si="0"/>
        <v>1.5591666666666668</v>
      </c>
      <c r="D59" s="9">
        <f t="shared" si="1"/>
        <v>1.7050000000000001</v>
      </c>
      <c r="E59" s="9">
        <f t="shared" si="2"/>
        <v>1.1433333333333333</v>
      </c>
      <c r="F59" s="9">
        <f t="shared" si="3"/>
        <v>1.4641666666666666</v>
      </c>
      <c r="G59" s="28">
        <v>24</v>
      </c>
      <c r="H59" s="31">
        <v>32.43</v>
      </c>
      <c r="J59" s="28">
        <v>12</v>
      </c>
      <c r="K59" s="28">
        <v>12</v>
      </c>
      <c r="L59" s="28">
        <v>18.71</v>
      </c>
      <c r="M59" s="28">
        <v>20.46</v>
      </c>
      <c r="N59" s="28">
        <v>13.72</v>
      </c>
      <c r="O59" s="28">
        <v>17.57</v>
      </c>
    </row>
    <row r="60" spans="1:15" ht="15.75" x14ac:dyDescent="0.25">
      <c r="A60" s="18" t="s">
        <v>56</v>
      </c>
      <c r="B60" s="8" t="s">
        <v>75</v>
      </c>
      <c r="C60" s="9">
        <f t="shared" si="0"/>
        <v>1.2949999999999999</v>
      </c>
      <c r="D60" s="9">
        <f t="shared" si="1"/>
        <v>1.2</v>
      </c>
      <c r="E60" s="9">
        <f t="shared" si="2"/>
        <v>1.2233333333333334</v>
      </c>
      <c r="F60" s="9">
        <f t="shared" si="3"/>
        <v>1.8883333333333334</v>
      </c>
      <c r="G60" s="28">
        <v>27</v>
      </c>
      <c r="H60" s="31">
        <v>30.22</v>
      </c>
      <c r="J60" s="28">
        <v>12</v>
      </c>
      <c r="K60" s="28">
        <v>12</v>
      </c>
      <c r="L60" s="28">
        <v>15.54</v>
      </c>
      <c r="M60" s="28">
        <v>14.4</v>
      </c>
      <c r="N60" s="28">
        <v>14.68</v>
      </c>
      <c r="O60" s="28">
        <v>22.66</v>
      </c>
    </row>
    <row r="61" spans="1:15" ht="15.75" x14ac:dyDescent="0.25">
      <c r="A61" s="20" t="s">
        <v>56</v>
      </c>
      <c r="B61" s="11" t="s">
        <v>76</v>
      </c>
      <c r="C61" s="12">
        <f t="shared" si="0"/>
        <v>1.0416666666666667</v>
      </c>
      <c r="D61" s="12">
        <f t="shared" si="1"/>
        <v>1.1375</v>
      </c>
      <c r="E61" s="12">
        <f t="shared" si="2"/>
        <v>1.1191666666666666</v>
      </c>
      <c r="F61" s="12">
        <f t="shared" si="3"/>
        <v>1.6783333333333335</v>
      </c>
      <c r="G61" s="32">
        <v>18</v>
      </c>
      <c r="H61" s="33">
        <v>25.93</v>
      </c>
      <c r="J61" s="28">
        <v>12</v>
      </c>
      <c r="K61" s="28">
        <v>12</v>
      </c>
      <c r="L61" s="28">
        <v>12.5</v>
      </c>
      <c r="M61" s="28">
        <v>13.65</v>
      </c>
      <c r="N61" s="28">
        <v>13.43</v>
      </c>
      <c r="O61" s="28">
        <v>20.14</v>
      </c>
    </row>
    <row r="62" spans="1:15" ht="15.75" x14ac:dyDescent="0.25">
      <c r="A62" s="22" t="s">
        <v>77</v>
      </c>
      <c r="B62" s="5" t="s">
        <v>78</v>
      </c>
      <c r="C62" s="6">
        <f t="shared" si="0"/>
        <v>1.3146153846153845</v>
      </c>
      <c r="D62" s="6">
        <f t="shared" si="1"/>
        <v>1.6723076923076923</v>
      </c>
      <c r="E62" s="6">
        <f t="shared" si="2"/>
        <v>1.1754545454545455</v>
      </c>
      <c r="F62" s="6">
        <f t="shared" si="3"/>
        <v>2.1245454545454545</v>
      </c>
      <c r="G62" s="41">
        <v>30</v>
      </c>
      <c r="H62" s="40">
        <v>30.02</v>
      </c>
      <c r="J62" s="42">
        <v>13</v>
      </c>
      <c r="K62" s="44">
        <v>11</v>
      </c>
      <c r="L62" s="43">
        <v>17.09</v>
      </c>
      <c r="M62" s="43">
        <v>21.74</v>
      </c>
      <c r="N62" s="45">
        <v>12.93</v>
      </c>
      <c r="O62" s="45">
        <v>23.37</v>
      </c>
    </row>
    <row r="63" spans="1:15" ht="15.75" x14ac:dyDescent="0.25">
      <c r="A63" s="23" t="s">
        <v>77</v>
      </c>
      <c r="B63" s="8" t="s">
        <v>79</v>
      </c>
      <c r="C63" s="9">
        <f t="shared" si="0"/>
        <v>2.2890909090909091</v>
      </c>
      <c r="D63" s="9">
        <f t="shared" si="1"/>
        <v>0.91</v>
      </c>
      <c r="E63" s="9">
        <f t="shared" si="2"/>
        <v>1.6909090909090911</v>
      </c>
      <c r="F63" s="9">
        <f t="shared" si="3"/>
        <v>1.6536363636363638</v>
      </c>
      <c r="G63" s="41">
        <v>43</v>
      </c>
      <c r="H63" s="40">
        <v>43.77</v>
      </c>
      <c r="J63" s="42">
        <v>11</v>
      </c>
      <c r="K63" s="44">
        <v>11</v>
      </c>
      <c r="L63" s="43">
        <v>25.18</v>
      </c>
      <c r="M63" s="43">
        <v>10.01</v>
      </c>
      <c r="N63" s="45">
        <v>18.600000000000001</v>
      </c>
      <c r="O63" s="45">
        <v>18.190000000000001</v>
      </c>
    </row>
    <row r="64" spans="1:15" ht="15.75" x14ac:dyDescent="0.25">
      <c r="A64" s="23" t="s">
        <v>77</v>
      </c>
      <c r="B64" s="8" t="s">
        <v>80</v>
      </c>
      <c r="C64" s="9">
        <f t="shared" si="0"/>
        <v>3.4324999999999997</v>
      </c>
      <c r="D64" s="9">
        <f t="shared" si="1"/>
        <v>1.0441666666666667</v>
      </c>
      <c r="E64" s="9">
        <f t="shared" si="2"/>
        <v>2.79</v>
      </c>
      <c r="F64" s="9">
        <f t="shared" si="3"/>
        <v>1.1918181818181817</v>
      </c>
      <c r="G64" s="41">
        <v>85</v>
      </c>
      <c r="H64" s="40">
        <v>71.88</v>
      </c>
      <c r="J64" s="42">
        <v>12</v>
      </c>
      <c r="K64" s="44">
        <v>11</v>
      </c>
      <c r="L64" s="43">
        <v>41.19</v>
      </c>
      <c r="M64" s="43">
        <v>12.53</v>
      </c>
      <c r="N64" s="45">
        <v>30.69</v>
      </c>
      <c r="O64" s="45">
        <v>13.11</v>
      </c>
    </row>
    <row r="65" spans="1:15" ht="15.75" x14ac:dyDescent="0.25">
      <c r="A65" s="23" t="s">
        <v>77</v>
      </c>
      <c r="B65" s="8" t="s">
        <v>81</v>
      </c>
      <c r="C65" s="9">
        <f t="shared" si="0"/>
        <v>2.0500000000000003</v>
      </c>
      <c r="D65" s="9">
        <f t="shared" si="1"/>
        <v>1.1718181818181819</v>
      </c>
      <c r="E65" s="9">
        <f t="shared" si="2"/>
        <v>1.6991666666666667</v>
      </c>
      <c r="F65" s="9">
        <f t="shared" si="3"/>
        <v>1.4066666666666665</v>
      </c>
      <c r="G65" s="41">
        <v>49</v>
      </c>
      <c r="H65" s="40">
        <v>42.95</v>
      </c>
      <c r="J65" s="42">
        <v>11</v>
      </c>
      <c r="K65" s="44">
        <v>12</v>
      </c>
      <c r="L65" s="43">
        <v>22.55</v>
      </c>
      <c r="M65" s="43">
        <v>12.89</v>
      </c>
      <c r="N65" s="45">
        <v>20.39</v>
      </c>
      <c r="O65" s="45">
        <v>16.88</v>
      </c>
    </row>
    <row r="66" spans="1:15" ht="15.75" x14ac:dyDescent="0.25">
      <c r="A66" s="23" t="s">
        <v>77</v>
      </c>
      <c r="B66" s="8" t="s">
        <v>82</v>
      </c>
      <c r="C66" s="9">
        <f t="shared" si="0"/>
        <v>1.3645454545454545</v>
      </c>
      <c r="D66" s="9">
        <f t="shared" si="1"/>
        <v>1.88</v>
      </c>
      <c r="E66" s="9">
        <f t="shared" si="2"/>
        <v>1.4008333333333332</v>
      </c>
      <c r="F66" s="9">
        <f t="shared" si="3"/>
        <v>1.5191666666666668</v>
      </c>
      <c r="G66" s="41">
        <v>26</v>
      </c>
      <c r="H66" s="40">
        <v>31.82</v>
      </c>
      <c r="J66" s="42">
        <v>11</v>
      </c>
      <c r="K66" s="44">
        <v>12</v>
      </c>
      <c r="L66" s="43">
        <v>15.01</v>
      </c>
      <c r="M66" s="43">
        <v>20.68</v>
      </c>
      <c r="N66" s="45">
        <v>16.809999999999999</v>
      </c>
      <c r="O66" s="45">
        <v>18.23</v>
      </c>
    </row>
    <row r="67" spans="1:15" ht="15.75" x14ac:dyDescent="0.25">
      <c r="A67" s="23" t="s">
        <v>77</v>
      </c>
      <c r="B67" s="8" t="s">
        <v>83</v>
      </c>
      <c r="C67" s="9">
        <f t="shared" ref="C67:C97" si="4">L67/J67</f>
        <v>1.6918181818181817</v>
      </c>
      <c r="D67" s="9">
        <f t="shared" ref="D67:D97" si="5">M67/J67</f>
        <v>1.3127272727272727</v>
      </c>
      <c r="E67" s="9">
        <f t="shared" ref="E67:E97" si="6">N67/K67</f>
        <v>1.425</v>
      </c>
      <c r="F67" s="9">
        <f t="shared" ref="F67:F97" si="7">O67/K67</f>
        <v>1.9641666666666666</v>
      </c>
      <c r="G67" s="41">
        <v>46</v>
      </c>
      <c r="H67" s="40">
        <v>35.71</v>
      </c>
      <c r="J67" s="42">
        <v>11</v>
      </c>
      <c r="K67" s="44">
        <v>12</v>
      </c>
      <c r="L67" s="43">
        <v>18.61</v>
      </c>
      <c r="M67" s="43">
        <v>14.44</v>
      </c>
      <c r="N67" s="45">
        <v>17.100000000000001</v>
      </c>
      <c r="O67" s="45">
        <v>23.57</v>
      </c>
    </row>
    <row r="68" spans="1:15" ht="15.75" x14ac:dyDescent="0.25">
      <c r="A68" s="23" t="s">
        <v>77</v>
      </c>
      <c r="B68" s="8" t="s">
        <v>84</v>
      </c>
      <c r="C68" s="9">
        <f t="shared" si="4"/>
        <v>1.5083333333333335</v>
      </c>
      <c r="D68" s="9">
        <f t="shared" si="5"/>
        <v>1.6475</v>
      </c>
      <c r="E68" s="9">
        <f t="shared" si="6"/>
        <v>1.3858333333333333</v>
      </c>
      <c r="F68" s="9">
        <f t="shared" si="7"/>
        <v>2.1291666666666669</v>
      </c>
      <c r="G68" s="41">
        <v>33</v>
      </c>
      <c r="H68" s="40">
        <v>34.729999999999997</v>
      </c>
      <c r="J68" s="42">
        <v>12</v>
      </c>
      <c r="K68" s="44">
        <v>12</v>
      </c>
      <c r="L68" s="43">
        <v>18.100000000000001</v>
      </c>
      <c r="M68" s="43">
        <v>19.77</v>
      </c>
      <c r="N68" s="45">
        <v>16.63</v>
      </c>
      <c r="O68" s="45">
        <v>25.55</v>
      </c>
    </row>
    <row r="69" spans="1:15" ht="15.75" x14ac:dyDescent="0.25">
      <c r="A69" s="23" t="s">
        <v>77</v>
      </c>
      <c r="B69" s="8" t="s">
        <v>85</v>
      </c>
      <c r="C69" s="9">
        <f t="shared" si="4"/>
        <v>1.4741666666666668</v>
      </c>
      <c r="D69" s="9">
        <f t="shared" si="5"/>
        <v>2.0625</v>
      </c>
      <c r="E69" s="9">
        <f t="shared" si="6"/>
        <v>1.2045454545454546</v>
      </c>
      <c r="F69" s="9">
        <f t="shared" si="7"/>
        <v>2.2772727272727273</v>
      </c>
      <c r="G69" s="41">
        <v>22</v>
      </c>
      <c r="H69" s="40">
        <v>30.94</v>
      </c>
      <c r="J69" s="42">
        <v>12</v>
      </c>
      <c r="K69" s="44">
        <v>11</v>
      </c>
      <c r="L69" s="43">
        <v>17.690000000000001</v>
      </c>
      <c r="M69" s="43">
        <v>24.75</v>
      </c>
      <c r="N69" s="45">
        <v>13.25</v>
      </c>
      <c r="O69" s="45">
        <v>25.05</v>
      </c>
    </row>
    <row r="70" spans="1:15" ht="15.75" x14ac:dyDescent="0.25">
      <c r="A70" s="23" t="s">
        <v>77</v>
      </c>
      <c r="B70" s="8" t="s">
        <v>86</v>
      </c>
      <c r="C70" s="9">
        <f t="shared" si="4"/>
        <v>1.8572727272727272</v>
      </c>
      <c r="D70" s="9">
        <f t="shared" si="5"/>
        <v>1.0654545454545454</v>
      </c>
      <c r="E70" s="9">
        <f t="shared" si="6"/>
        <v>1.0908333333333333</v>
      </c>
      <c r="F70" s="9">
        <f t="shared" si="7"/>
        <v>1.9291666666666665</v>
      </c>
      <c r="G70" s="41">
        <v>34</v>
      </c>
      <c r="H70" s="40">
        <v>33.520000000000003</v>
      </c>
      <c r="J70" s="42">
        <v>11</v>
      </c>
      <c r="K70" s="44">
        <v>12</v>
      </c>
      <c r="L70" s="43">
        <v>20.43</v>
      </c>
      <c r="M70" s="43">
        <v>11.72</v>
      </c>
      <c r="N70" s="45">
        <v>13.09</v>
      </c>
      <c r="O70" s="45">
        <v>23.15</v>
      </c>
    </row>
    <row r="71" spans="1:15" ht="15.75" x14ac:dyDescent="0.25">
      <c r="A71" s="23" t="s">
        <v>77</v>
      </c>
      <c r="B71" s="8" t="s">
        <v>87</v>
      </c>
      <c r="C71" s="9">
        <f t="shared" si="4"/>
        <v>1.6863636363636365</v>
      </c>
      <c r="D71" s="9">
        <f t="shared" si="5"/>
        <v>1.4209090909090909</v>
      </c>
      <c r="E71" s="9">
        <f t="shared" si="6"/>
        <v>0.99636363636363645</v>
      </c>
      <c r="F71" s="9">
        <f t="shared" si="7"/>
        <v>1.8890909090909092</v>
      </c>
      <c r="G71" s="41">
        <v>25</v>
      </c>
      <c r="H71" s="40">
        <v>29.51</v>
      </c>
      <c r="J71" s="42">
        <v>11</v>
      </c>
      <c r="K71" s="44">
        <v>11</v>
      </c>
      <c r="L71" s="43">
        <v>18.55</v>
      </c>
      <c r="M71" s="43">
        <v>15.63</v>
      </c>
      <c r="N71" s="45">
        <v>10.96</v>
      </c>
      <c r="O71" s="45">
        <v>20.78</v>
      </c>
    </row>
    <row r="72" spans="1:15" ht="15.75" x14ac:dyDescent="0.25">
      <c r="A72" s="23" t="s">
        <v>77</v>
      </c>
      <c r="B72" s="8" t="s">
        <v>88</v>
      </c>
      <c r="C72" s="9">
        <f t="shared" si="4"/>
        <v>2.0254545454545454</v>
      </c>
      <c r="D72" s="9">
        <f t="shared" si="5"/>
        <v>1.3136363636363635</v>
      </c>
      <c r="E72" s="9">
        <f t="shared" si="6"/>
        <v>1.6191666666666666</v>
      </c>
      <c r="F72" s="9">
        <f t="shared" si="7"/>
        <v>1.9058333333333335</v>
      </c>
      <c r="G72" s="41">
        <v>49</v>
      </c>
      <c r="H72" s="40">
        <v>41.72</v>
      </c>
      <c r="J72" s="42">
        <v>11</v>
      </c>
      <c r="K72" s="44">
        <v>12</v>
      </c>
      <c r="L72" s="43">
        <v>22.28</v>
      </c>
      <c r="M72" s="43">
        <v>14.45</v>
      </c>
      <c r="N72" s="45">
        <v>19.43</v>
      </c>
      <c r="O72" s="45">
        <v>22.87</v>
      </c>
    </row>
    <row r="73" spans="1:15" ht="15.75" x14ac:dyDescent="0.25">
      <c r="A73" s="23" t="s">
        <v>77</v>
      </c>
      <c r="B73" s="8" t="s">
        <v>89</v>
      </c>
      <c r="C73" s="9">
        <f t="shared" si="4"/>
        <v>1.9216666666666666</v>
      </c>
      <c r="D73" s="9">
        <f t="shared" si="5"/>
        <v>1.5333333333333332</v>
      </c>
      <c r="E73" s="9">
        <f t="shared" si="6"/>
        <v>1.3718181818181818</v>
      </c>
      <c r="F73" s="9">
        <f t="shared" si="7"/>
        <v>2.3090909090909091</v>
      </c>
      <c r="G73" s="41">
        <v>26</v>
      </c>
      <c r="H73" s="40">
        <v>38.14</v>
      </c>
      <c r="J73" s="42">
        <v>12</v>
      </c>
      <c r="K73" s="44">
        <v>11</v>
      </c>
      <c r="L73" s="43">
        <v>23.06</v>
      </c>
      <c r="M73" s="43">
        <v>18.399999999999999</v>
      </c>
      <c r="N73" s="45">
        <v>15.09</v>
      </c>
      <c r="O73" s="45">
        <v>25.4</v>
      </c>
    </row>
    <row r="74" spans="1:15" ht="15.75" x14ac:dyDescent="0.25">
      <c r="A74" s="23" t="s">
        <v>77</v>
      </c>
      <c r="B74" s="8" t="s">
        <v>90</v>
      </c>
      <c r="C74" s="9">
        <f t="shared" si="4"/>
        <v>2.6483333333333334</v>
      </c>
      <c r="D74" s="9">
        <f t="shared" si="5"/>
        <v>1.5083333333333335</v>
      </c>
      <c r="E74" s="9">
        <f t="shared" si="6"/>
        <v>1.71</v>
      </c>
      <c r="F74" s="9">
        <f t="shared" si="7"/>
        <v>1.3818181818181818</v>
      </c>
      <c r="G74" s="41">
        <v>44</v>
      </c>
      <c r="H74" s="40">
        <v>50.59</v>
      </c>
      <c r="J74" s="42">
        <v>12</v>
      </c>
      <c r="K74" s="44">
        <v>11</v>
      </c>
      <c r="L74" s="43">
        <v>31.78</v>
      </c>
      <c r="M74" s="43">
        <v>18.100000000000001</v>
      </c>
      <c r="N74" s="45">
        <v>18.809999999999999</v>
      </c>
      <c r="O74" s="45">
        <v>15.2</v>
      </c>
    </row>
    <row r="75" spans="1:15" ht="15.75" x14ac:dyDescent="0.25">
      <c r="A75" s="23" t="s">
        <v>77</v>
      </c>
      <c r="B75" s="8" t="s">
        <v>91</v>
      </c>
      <c r="C75" s="9">
        <f t="shared" si="4"/>
        <v>1.0045454545454546</v>
      </c>
      <c r="D75" s="9">
        <f t="shared" si="5"/>
        <v>1.5409090909090908</v>
      </c>
      <c r="E75" s="9">
        <f t="shared" si="6"/>
        <v>0.94833333333333336</v>
      </c>
      <c r="F75" s="9">
        <f t="shared" si="7"/>
        <v>2.0350000000000001</v>
      </c>
      <c r="G75" s="41">
        <v>22</v>
      </c>
      <c r="H75" s="40">
        <v>22.43</v>
      </c>
      <c r="J75" s="42">
        <v>11</v>
      </c>
      <c r="K75" s="44">
        <v>12</v>
      </c>
      <c r="L75" s="43">
        <v>11.05</v>
      </c>
      <c r="M75" s="43">
        <v>16.95</v>
      </c>
      <c r="N75" s="45">
        <v>11.38</v>
      </c>
      <c r="O75" s="45">
        <v>24.42</v>
      </c>
    </row>
    <row r="76" spans="1:15" ht="15.75" x14ac:dyDescent="0.25">
      <c r="A76" s="23" t="s">
        <v>77</v>
      </c>
      <c r="B76" s="8" t="s">
        <v>92</v>
      </c>
      <c r="C76" s="9">
        <f t="shared" si="4"/>
        <v>1.5125</v>
      </c>
      <c r="D76" s="9">
        <f t="shared" si="5"/>
        <v>1.3125</v>
      </c>
      <c r="E76" s="9">
        <f t="shared" si="6"/>
        <v>1.4390909090909092</v>
      </c>
      <c r="F76" s="9">
        <f t="shared" si="7"/>
        <v>1.520909090909091</v>
      </c>
      <c r="G76" s="41">
        <v>29</v>
      </c>
      <c r="H76" s="40">
        <v>33.979999999999997</v>
      </c>
      <c r="J76" s="42">
        <v>12</v>
      </c>
      <c r="K76" s="44">
        <v>11</v>
      </c>
      <c r="L76" s="43">
        <v>18.149999999999999</v>
      </c>
      <c r="M76" s="43">
        <v>15.75</v>
      </c>
      <c r="N76" s="45">
        <v>15.83</v>
      </c>
      <c r="O76" s="45">
        <v>16.73</v>
      </c>
    </row>
    <row r="77" spans="1:15" ht="15.75" x14ac:dyDescent="0.25">
      <c r="A77" s="23" t="s">
        <v>77</v>
      </c>
      <c r="B77" s="8" t="s">
        <v>93</v>
      </c>
      <c r="C77" s="9">
        <f t="shared" si="4"/>
        <v>2.0345454545454547</v>
      </c>
      <c r="D77" s="9">
        <f t="shared" si="5"/>
        <v>1.3954545454545455</v>
      </c>
      <c r="E77" s="9">
        <f t="shared" si="6"/>
        <v>1.8</v>
      </c>
      <c r="F77" s="9">
        <f t="shared" si="7"/>
        <v>1.4566666666666668</v>
      </c>
      <c r="G77" s="41">
        <v>44</v>
      </c>
      <c r="H77" s="40">
        <v>43.98</v>
      </c>
      <c r="J77" s="42">
        <v>11</v>
      </c>
      <c r="K77" s="44">
        <v>12</v>
      </c>
      <c r="L77" s="43">
        <v>22.38</v>
      </c>
      <c r="M77" s="43">
        <v>15.35</v>
      </c>
      <c r="N77" s="45">
        <v>21.6</v>
      </c>
      <c r="O77" s="45">
        <v>17.48</v>
      </c>
    </row>
    <row r="78" spans="1:15" ht="15.75" x14ac:dyDescent="0.25">
      <c r="A78" s="23" t="s">
        <v>77</v>
      </c>
      <c r="B78" s="8" t="s">
        <v>94</v>
      </c>
      <c r="C78" s="9">
        <f t="shared" si="4"/>
        <v>1.4236363636363636</v>
      </c>
      <c r="D78" s="9">
        <f t="shared" si="5"/>
        <v>1.3290909090909091</v>
      </c>
      <c r="E78" s="9">
        <f t="shared" si="6"/>
        <v>1.0441666666666667</v>
      </c>
      <c r="F78" s="9">
        <f t="shared" si="7"/>
        <v>2.0791666666666666</v>
      </c>
      <c r="G78" s="41">
        <v>23</v>
      </c>
      <c r="H78" s="40">
        <v>28.19</v>
      </c>
      <c r="J78" s="42">
        <v>11</v>
      </c>
      <c r="K78" s="44">
        <v>12</v>
      </c>
      <c r="L78" s="43">
        <v>15.66</v>
      </c>
      <c r="M78" s="43">
        <v>14.62</v>
      </c>
      <c r="N78" s="45">
        <v>12.53</v>
      </c>
      <c r="O78" s="45">
        <v>24.95</v>
      </c>
    </row>
    <row r="79" spans="1:15" ht="15.75" x14ac:dyDescent="0.25">
      <c r="A79" s="24" t="s">
        <v>77</v>
      </c>
      <c r="B79" s="11" t="s">
        <v>95</v>
      </c>
      <c r="C79" s="12">
        <f t="shared" si="4"/>
        <v>1.5149999999999999</v>
      </c>
      <c r="D79" s="12">
        <f t="shared" si="5"/>
        <v>1.8358333333333334</v>
      </c>
      <c r="E79" s="12">
        <f t="shared" si="6"/>
        <v>1.3354545454545454</v>
      </c>
      <c r="F79" s="12">
        <f t="shared" si="7"/>
        <v>2</v>
      </c>
      <c r="G79" s="41">
        <v>33</v>
      </c>
      <c r="H79" s="40">
        <v>32.869999999999997</v>
      </c>
      <c r="J79" s="42">
        <v>12</v>
      </c>
      <c r="K79" s="44">
        <v>11</v>
      </c>
      <c r="L79" s="43">
        <v>18.18</v>
      </c>
      <c r="M79" s="43">
        <v>22.03</v>
      </c>
      <c r="N79" s="45">
        <v>14.69</v>
      </c>
      <c r="O79" s="45">
        <v>22</v>
      </c>
    </row>
    <row r="80" spans="1:15" x14ac:dyDescent="0.25">
      <c r="A80" s="25" t="s">
        <v>96</v>
      </c>
      <c r="B80" s="5" t="s">
        <v>97</v>
      </c>
      <c r="C80" s="6">
        <f t="shared" si="4"/>
        <v>1.3875</v>
      </c>
      <c r="D80" s="6">
        <f t="shared" si="5"/>
        <v>1.2825</v>
      </c>
      <c r="E80" s="6">
        <f t="shared" si="6"/>
        <v>0.75875000000000004</v>
      </c>
      <c r="F80" s="6">
        <f t="shared" si="7"/>
        <v>2.1712500000000001</v>
      </c>
      <c r="G80" s="5">
        <v>17</v>
      </c>
      <c r="H80" s="17">
        <v>17.170000000000002</v>
      </c>
      <c r="J80">
        <v>8</v>
      </c>
      <c r="K80">
        <v>8</v>
      </c>
      <c r="L80">
        <v>11.1</v>
      </c>
      <c r="M80">
        <v>10.26</v>
      </c>
      <c r="N80">
        <v>6.07</v>
      </c>
      <c r="O80">
        <v>17.37</v>
      </c>
    </row>
    <row r="81" spans="1:15" x14ac:dyDescent="0.25">
      <c r="A81" s="26" t="s">
        <v>96</v>
      </c>
      <c r="B81" s="8" t="s">
        <v>98</v>
      </c>
      <c r="C81" s="9">
        <f t="shared" si="4"/>
        <v>1.3844444444444446</v>
      </c>
      <c r="D81" s="9">
        <f t="shared" si="5"/>
        <v>1.1144444444444443</v>
      </c>
      <c r="E81" s="9">
        <f t="shared" si="6"/>
        <v>1.1685714285714286</v>
      </c>
      <c r="F81" s="9">
        <f t="shared" si="7"/>
        <v>2.0285714285714285</v>
      </c>
      <c r="G81" s="8">
        <v>14</v>
      </c>
      <c r="H81" s="19">
        <v>20.64</v>
      </c>
      <c r="J81">
        <v>9</v>
      </c>
      <c r="K81">
        <v>7</v>
      </c>
      <c r="L81">
        <v>12.46</v>
      </c>
      <c r="M81">
        <v>10.029999999999999</v>
      </c>
      <c r="N81">
        <v>8.18</v>
      </c>
      <c r="O81">
        <v>14.2</v>
      </c>
    </row>
    <row r="82" spans="1:15" x14ac:dyDescent="0.25">
      <c r="A82" s="26" t="s">
        <v>96</v>
      </c>
      <c r="B82" s="8" t="s">
        <v>99</v>
      </c>
      <c r="C82" s="9">
        <f t="shared" si="4"/>
        <v>1.9575</v>
      </c>
      <c r="D82" s="9">
        <f t="shared" si="5"/>
        <v>1.3787499999999999</v>
      </c>
      <c r="E82" s="9">
        <f t="shared" si="6"/>
        <v>0.94625000000000004</v>
      </c>
      <c r="F82" s="9">
        <f t="shared" si="7"/>
        <v>1.7775000000000001</v>
      </c>
      <c r="G82" s="8">
        <v>21</v>
      </c>
      <c r="H82" s="19">
        <v>23.23</v>
      </c>
      <c r="J82">
        <v>8</v>
      </c>
      <c r="K82">
        <v>8</v>
      </c>
      <c r="L82">
        <v>15.66</v>
      </c>
      <c r="M82">
        <v>11.03</v>
      </c>
      <c r="N82">
        <v>7.57</v>
      </c>
      <c r="O82">
        <v>14.22</v>
      </c>
    </row>
    <row r="83" spans="1:15" x14ac:dyDescent="0.25">
      <c r="A83" s="26" t="s">
        <v>96</v>
      </c>
      <c r="B83" s="8" t="s">
        <v>100</v>
      </c>
      <c r="C83" s="9">
        <f t="shared" si="4"/>
        <v>1.54375</v>
      </c>
      <c r="D83" s="9">
        <f t="shared" si="5"/>
        <v>0.97750000000000004</v>
      </c>
      <c r="E83" s="9">
        <f t="shared" si="6"/>
        <v>0.87875000000000003</v>
      </c>
      <c r="F83" s="9">
        <f t="shared" si="7"/>
        <v>2.08</v>
      </c>
      <c r="G83" s="8">
        <v>13</v>
      </c>
      <c r="H83" s="19">
        <v>19.38</v>
      </c>
      <c r="J83">
        <v>8</v>
      </c>
      <c r="K83">
        <v>8</v>
      </c>
      <c r="L83">
        <v>12.35</v>
      </c>
      <c r="M83">
        <v>7.82</v>
      </c>
      <c r="N83">
        <v>7.03</v>
      </c>
      <c r="O83">
        <v>16.64</v>
      </c>
    </row>
    <row r="84" spans="1:15" x14ac:dyDescent="0.25">
      <c r="A84" s="26" t="s">
        <v>96</v>
      </c>
      <c r="B84" s="8" t="s">
        <v>101</v>
      </c>
      <c r="C84" s="9">
        <f t="shared" si="4"/>
        <v>2.665</v>
      </c>
      <c r="D84" s="9">
        <f t="shared" si="5"/>
        <v>1.1174999999999999</v>
      </c>
      <c r="E84" s="9">
        <f t="shared" si="6"/>
        <v>1.7762500000000001</v>
      </c>
      <c r="F84" s="9">
        <f t="shared" si="7"/>
        <v>1.72</v>
      </c>
      <c r="G84" s="8">
        <v>28</v>
      </c>
      <c r="H84" s="19">
        <v>35.53</v>
      </c>
      <c r="J84">
        <v>8</v>
      </c>
      <c r="K84">
        <v>8</v>
      </c>
      <c r="L84">
        <v>21.32</v>
      </c>
      <c r="M84">
        <v>8.94</v>
      </c>
      <c r="N84">
        <v>14.21</v>
      </c>
      <c r="O84">
        <v>13.76</v>
      </c>
    </row>
    <row r="85" spans="1:15" x14ac:dyDescent="0.25">
      <c r="A85" s="26" t="s">
        <v>96</v>
      </c>
      <c r="B85" s="8" t="s">
        <v>102</v>
      </c>
      <c r="C85" s="9">
        <f t="shared" si="4"/>
        <v>2.23875</v>
      </c>
      <c r="D85" s="9">
        <f t="shared" si="5"/>
        <v>1.0912500000000001</v>
      </c>
      <c r="E85" s="9">
        <f t="shared" si="6"/>
        <v>1.67875</v>
      </c>
      <c r="F85" s="9">
        <f t="shared" si="7"/>
        <v>1.6425000000000001</v>
      </c>
      <c r="G85" s="8">
        <v>33</v>
      </c>
      <c r="H85" s="19">
        <v>31.34</v>
      </c>
      <c r="J85">
        <v>8</v>
      </c>
      <c r="K85">
        <v>8</v>
      </c>
      <c r="L85">
        <v>17.91</v>
      </c>
      <c r="M85">
        <v>8.73</v>
      </c>
      <c r="N85">
        <v>13.43</v>
      </c>
      <c r="O85">
        <v>13.14</v>
      </c>
    </row>
    <row r="86" spans="1:15" x14ac:dyDescent="0.25">
      <c r="A86" s="26" t="s">
        <v>96</v>
      </c>
      <c r="B86" s="8" t="s">
        <v>103</v>
      </c>
      <c r="C86" s="9">
        <f t="shared" si="4"/>
        <v>1.9662500000000001</v>
      </c>
      <c r="D86" s="9">
        <f t="shared" si="5"/>
        <v>1.31</v>
      </c>
      <c r="E86" s="9">
        <f t="shared" si="6"/>
        <v>1.11375</v>
      </c>
      <c r="F86" s="9">
        <f t="shared" si="7"/>
        <v>1.8425</v>
      </c>
      <c r="G86" s="8">
        <v>19</v>
      </c>
      <c r="H86" s="19">
        <v>24.64</v>
      </c>
      <c r="J86">
        <v>8</v>
      </c>
      <c r="K86">
        <v>8</v>
      </c>
      <c r="L86">
        <v>15.73</v>
      </c>
      <c r="M86">
        <v>10.48</v>
      </c>
      <c r="N86">
        <v>8.91</v>
      </c>
      <c r="O86">
        <v>14.74</v>
      </c>
    </row>
    <row r="87" spans="1:15" x14ac:dyDescent="0.25">
      <c r="A87" s="26" t="s">
        <v>96</v>
      </c>
      <c r="B87" s="8" t="s">
        <v>104</v>
      </c>
      <c r="C87" s="9">
        <f t="shared" si="4"/>
        <v>2.0187499999999998</v>
      </c>
      <c r="D87" s="9">
        <f t="shared" si="5"/>
        <v>0.97124999999999995</v>
      </c>
      <c r="E87" s="9">
        <f t="shared" si="6"/>
        <v>1.25125</v>
      </c>
      <c r="F87" s="9">
        <f t="shared" si="7"/>
        <v>1.64</v>
      </c>
      <c r="G87" s="8">
        <v>22</v>
      </c>
      <c r="H87" s="19">
        <v>26.15</v>
      </c>
      <c r="J87">
        <v>8</v>
      </c>
      <c r="K87">
        <v>8</v>
      </c>
      <c r="L87">
        <v>16.149999999999999</v>
      </c>
      <c r="M87">
        <v>7.77</v>
      </c>
      <c r="N87">
        <v>10.01</v>
      </c>
      <c r="O87">
        <v>13.12</v>
      </c>
    </row>
    <row r="88" spans="1:15" x14ac:dyDescent="0.25">
      <c r="A88" s="26" t="s">
        <v>96</v>
      </c>
      <c r="B88" s="8" t="s">
        <v>105</v>
      </c>
      <c r="C88" s="9">
        <f t="shared" si="4"/>
        <v>2.56</v>
      </c>
      <c r="D88" s="9">
        <f t="shared" si="5"/>
        <v>0.90625</v>
      </c>
      <c r="E88" s="9">
        <f t="shared" si="6"/>
        <v>1.6387499999999999</v>
      </c>
      <c r="F88" s="9">
        <f t="shared" si="7"/>
        <v>1.3287500000000001</v>
      </c>
      <c r="G88" s="8">
        <v>36</v>
      </c>
      <c r="H88" s="19">
        <v>33.590000000000003</v>
      </c>
      <c r="J88">
        <v>8</v>
      </c>
      <c r="K88">
        <v>8</v>
      </c>
      <c r="L88">
        <v>20.48</v>
      </c>
      <c r="M88">
        <v>7.25</v>
      </c>
      <c r="N88">
        <v>13.11</v>
      </c>
      <c r="O88">
        <v>10.63</v>
      </c>
    </row>
    <row r="89" spans="1:15" x14ac:dyDescent="0.25">
      <c r="A89" s="26" t="s">
        <v>96</v>
      </c>
      <c r="B89" s="8" t="s">
        <v>106</v>
      </c>
      <c r="C89" s="9">
        <f t="shared" si="4"/>
        <v>1.0787500000000001</v>
      </c>
      <c r="D89" s="9">
        <f t="shared" si="5"/>
        <v>1.3425</v>
      </c>
      <c r="E89" s="9">
        <f t="shared" si="6"/>
        <v>0.98875000000000002</v>
      </c>
      <c r="F89" s="9">
        <f t="shared" si="7"/>
        <v>2.8125</v>
      </c>
      <c r="G89" s="8">
        <v>17</v>
      </c>
      <c r="H89" s="19">
        <v>16.54</v>
      </c>
      <c r="J89">
        <v>8</v>
      </c>
      <c r="K89">
        <v>8</v>
      </c>
      <c r="L89">
        <v>8.6300000000000008</v>
      </c>
      <c r="M89">
        <v>10.74</v>
      </c>
      <c r="N89">
        <v>7.91</v>
      </c>
      <c r="O89">
        <v>22.5</v>
      </c>
    </row>
    <row r="90" spans="1:15" x14ac:dyDescent="0.25">
      <c r="A90" s="26" t="s">
        <v>96</v>
      </c>
      <c r="B90" s="8" t="s">
        <v>107</v>
      </c>
      <c r="C90" s="9">
        <f t="shared" si="4"/>
        <v>2.17875</v>
      </c>
      <c r="D90" s="9">
        <f t="shared" si="5"/>
        <v>1.4662500000000001</v>
      </c>
      <c r="E90" s="9">
        <f t="shared" si="6"/>
        <v>1.73</v>
      </c>
      <c r="F90" s="9">
        <f t="shared" si="7"/>
        <v>1.91875</v>
      </c>
      <c r="G90" s="8">
        <v>26</v>
      </c>
      <c r="H90" s="19">
        <v>31.27</v>
      </c>
      <c r="J90">
        <v>8</v>
      </c>
      <c r="K90">
        <v>8</v>
      </c>
      <c r="L90">
        <v>17.43</v>
      </c>
      <c r="M90">
        <v>11.73</v>
      </c>
      <c r="N90">
        <v>13.84</v>
      </c>
      <c r="O90">
        <v>15.35</v>
      </c>
    </row>
    <row r="91" spans="1:15" x14ac:dyDescent="0.25">
      <c r="A91" s="26" t="s">
        <v>96</v>
      </c>
      <c r="B91" s="8" t="s">
        <v>108</v>
      </c>
      <c r="C91" s="9">
        <f t="shared" si="4"/>
        <v>1.1587499999999999</v>
      </c>
      <c r="D91" s="9">
        <f t="shared" si="5"/>
        <v>1.96875</v>
      </c>
      <c r="E91" s="9">
        <f t="shared" si="6"/>
        <v>0.68</v>
      </c>
      <c r="F91" s="9">
        <f t="shared" si="7"/>
        <v>1.8462499999999999</v>
      </c>
      <c r="G91" s="8">
        <v>14</v>
      </c>
      <c r="H91" s="19">
        <v>14.71</v>
      </c>
      <c r="J91">
        <v>8</v>
      </c>
      <c r="K91">
        <v>8</v>
      </c>
      <c r="L91">
        <v>9.27</v>
      </c>
      <c r="M91">
        <v>15.75</v>
      </c>
      <c r="N91">
        <v>5.44</v>
      </c>
      <c r="O91">
        <v>14.77</v>
      </c>
    </row>
    <row r="92" spans="1:15" x14ac:dyDescent="0.25">
      <c r="A92" s="26" t="s">
        <v>96</v>
      </c>
      <c r="B92" s="8" t="s">
        <v>109</v>
      </c>
      <c r="C92" s="9">
        <f t="shared" si="4"/>
        <v>1.62375</v>
      </c>
      <c r="D92" s="9">
        <f t="shared" si="5"/>
        <v>1.63375</v>
      </c>
      <c r="E92" s="9">
        <f t="shared" si="6"/>
        <v>1.0287500000000001</v>
      </c>
      <c r="F92" s="9">
        <f t="shared" si="7"/>
        <v>2.0562499999999999</v>
      </c>
      <c r="G92" s="8">
        <v>19</v>
      </c>
      <c r="H92" s="19">
        <v>21.22</v>
      </c>
      <c r="J92">
        <v>8</v>
      </c>
      <c r="K92">
        <v>8</v>
      </c>
      <c r="L92">
        <v>12.99</v>
      </c>
      <c r="M92">
        <v>13.07</v>
      </c>
      <c r="N92">
        <v>8.23</v>
      </c>
      <c r="O92">
        <v>16.45</v>
      </c>
    </row>
    <row r="93" spans="1:15" x14ac:dyDescent="0.25">
      <c r="A93" s="26" t="s">
        <v>96</v>
      </c>
      <c r="B93" s="8" t="s">
        <v>110</v>
      </c>
      <c r="C93" s="9">
        <f t="shared" si="4"/>
        <v>1.63375</v>
      </c>
      <c r="D93" s="9">
        <f t="shared" si="5"/>
        <v>1.4550000000000001</v>
      </c>
      <c r="E93" s="9">
        <f t="shared" si="6"/>
        <v>1.2037500000000001</v>
      </c>
      <c r="F93" s="9">
        <f t="shared" si="7"/>
        <v>2.1262500000000002</v>
      </c>
      <c r="G93" s="8">
        <v>21</v>
      </c>
      <c r="H93" s="19">
        <v>22.7</v>
      </c>
      <c r="J93">
        <v>8</v>
      </c>
      <c r="K93">
        <v>8</v>
      </c>
      <c r="L93">
        <v>13.07</v>
      </c>
      <c r="M93">
        <v>11.64</v>
      </c>
      <c r="N93">
        <v>9.6300000000000008</v>
      </c>
      <c r="O93">
        <v>17.010000000000002</v>
      </c>
    </row>
    <row r="94" spans="1:15" x14ac:dyDescent="0.25">
      <c r="A94" s="26" t="s">
        <v>96</v>
      </c>
      <c r="B94" s="8" t="s">
        <v>111</v>
      </c>
      <c r="C94" s="9">
        <f t="shared" si="4"/>
        <v>2.35</v>
      </c>
      <c r="D94" s="9">
        <f t="shared" si="5"/>
        <v>0.84</v>
      </c>
      <c r="E94" s="9">
        <f t="shared" si="6"/>
        <v>1.7577777777777779</v>
      </c>
      <c r="F94" s="9">
        <f t="shared" si="7"/>
        <v>0.96444444444444444</v>
      </c>
      <c r="G94" s="8">
        <v>35</v>
      </c>
      <c r="H94" s="19">
        <v>32.270000000000003</v>
      </c>
      <c r="J94">
        <v>7</v>
      </c>
      <c r="K94">
        <v>9</v>
      </c>
      <c r="L94">
        <v>16.45</v>
      </c>
      <c r="M94">
        <v>5.88</v>
      </c>
      <c r="N94">
        <v>15.82</v>
      </c>
      <c r="O94">
        <v>8.68</v>
      </c>
    </row>
    <row r="95" spans="1:15" x14ac:dyDescent="0.25">
      <c r="A95" s="26" t="s">
        <v>96</v>
      </c>
      <c r="B95" s="8" t="s">
        <v>112</v>
      </c>
      <c r="C95" s="9">
        <f t="shared" si="4"/>
        <v>2.0375000000000001</v>
      </c>
      <c r="D95" s="9">
        <f t="shared" si="5"/>
        <v>1.5562499999999999</v>
      </c>
      <c r="E95" s="9">
        <f t="shared" si="6"/>
        <v>1.0287500000000001</v>
      </c>
      <c r="F95" s="9">
        <f t="shared" si="7"/>
        <v>2.145</v>
      </c>
      <c r="G95" s="8">
        <v>27</v>
      </c>
      <c r="H95" s="19">
        <v>24.53</v>
      </c>
      <c r="J95">
        <v>8</v>
      </c>
      <c r="K95">
        <v>8</v>
      </c>
      <c r="L95">
        <v>16.3</v>
      </c>
      <c r="M95">
        <v>12.45</v>
      </c>
      <c r="N95">
        <v>8.23</v>
      </c>
      <c r="O95">
        <v>17.16</v>
      </c>
    </row>
    <row r="96" spans="1:15" x14ac:dyDescent="0.25">
      <c r="A96" s="26" t="s">
        <v>96</v>
      </c>
      <c r="B96" s="8" t="s">
        <v>113</v>
      </c>
      <c r="C96" s="9">
        <f t="shared" si="4"/>
        <v>1.9450000000000001</v>
      </c>
      <c r="D96" s="9">
        <f t="shared" si="5"/>
        <v>0.73</v>
      </c>
      <c r="E96" s="9">
        <f t="shared" si="6"/>
        <v>1.2837499999999999</v>
      </c>
      <c r="F96" s="9">
        <f t="shared" si="7"/>
        <v>1.7975000000000001</v>
      </c>
      <c r="G96" s="8">
        <v>25</v>
      </c>
      <c r="H96" s="19">
        <v>25.83</v>
      </c>
      <c r="J96">
        <v>8</v>
      </c>
      <c r="K96">
        <v>8</v>
      </c>
      <c r="L96">
        <v>15.56</v>
      </c>
      <c r="M96">
        <v>5.84</v>
      </c>
      <c r="N96">
        <v>10.27</v>
      </c>
      <c r="O96">
        <v>14.38</v>
      </c>
    </row>
    <row r="97" spans="1:15" x14ac:dyDescent="0.25">
      <c r="A97" s="27" t="s">
        <v>96</v>
      </c>
      <c r="B97" s="11" t="s">
        <v>114</v>
      </c>
      <c r="C97" s="12">
        <f t="shared" si="4"/>
        <v>1.69625</v>
      </c>
      <c r="D97" s="12">
        <f t="shared" si="5"/>
        <v>0.99375000000000002</v>
      </c>
      <c r="E97" s="12">
        <f t="shared" si="6"/>
        <v>1.1837500000000001</v>
      </c>
      <c r="F97" s="12">
        <f t="shared" si="7"/>
        <v>1.54</v>
      </c>
      <c r="G97" s="11">
        <v>24</v>
      </c>
      <c r="H97" s="21">
        <v>23.03</v>
      </c>
      <c r="J97">
        <v>8</v>
      </c>
      <c r="K97">
        <v>8</v>
      </c>
      <c r="L97">
        <v>13.57</v>
      </c>
      <c r="M97">
        <v>7.95</v>
      </c>
      <c r="N97">
        <v>9.4700000000000006</v>
      </c>
      <c r="O97">
        <v>12.32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Munoz</dc:creator>
  <cp:lastModifiedBy>Jordi Munoz</cp:lastModifiedBy>
  <dcterms:created xsi:type="dcterms:W3CDTF">2026-01-31T03:26:11Z</dcterms:created>
  <dcterms:modified xsi:type="dcterms:W3CDTF">2026-02-27T23:27:40Z</dcterms:modified>
</cp:coreProperties>
</file>